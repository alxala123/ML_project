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.sharepoint.com/sites/mars/GRUP BLANCH/ICHNAEA-MST/Fitxers dades finals Ichnaea-MST/"/>
    </mc:Choice>
  </mc:AlternateContent>
  <xr:revisionPtr revIDLastSave="5" documentId="8_{2A279934-2CA8-4E71-A41E-F69AD6B62122}" xr6:coauthVersionLast="36" xr6:coauthVersionMax="36" xr10:uidLastSave="{F25F9B7C-2D5A-41DA-8E56-99305083F680}"/>
  <bookViews>
    <workbookView xWindow="0" yWindow="0" windowWidth="23040" windowHeight="8484" tabRatio="694" firstSheet="1" activeTab="5" xr2:uid="{8B5A9BA4-5715-4B7C-A289-E06B47E131CC}"/>
  </bookViews>
  <sheets>
    <sheet name="10mL" sheetId="1" r:id="rId1"/>
    <sheet name="Random" sheetId="2" r:id="rId2"/>
    <sheet name="For training binary" sheetId="3" r:id="rId3"/>
    <sheet name="to_train_binary" sheetId="8" r:id="rId4"/>
    <sheet name="to_train" sheetId="5" r:id="rId5"/>
    <sheet name="For classifying" sheetId="4" r:id="rId6"/>
    <sheet name="for classifying dilutions" sheetId="7" r:id="rId7"/>
    <sheet name="to_classify" sheetId="6" r:id="rId8"/>
    <sheet name="to_classify_somcph" sheetId="9" r:id="rId9"/>
  </sheets>
  <definedNames>
    <definedName name="_xlnm._FilterDatabase" localSheetId="0" hidden="1">'10mL'!$C$1:$D$114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5" i="9" l="1"/>
  <c r="X76" i="9" s="1"/>
  <c r="W75" i="9"/>
  <c r="W76" i="9" s="1"/>
  <c r="S75" i="9"/>
  <c r="S76" i="9" s="1"/>
  <c r="O75" i="9"/>
  <c r="O76" i="9" s="1"/>
  <c r="J75" i="9"/>
  <c r="J76" i="9" s="1"/>
  <c r="H75" i="9"/>
  <c r="H76" i="9" s="1"/>
  <c r="V74" i="9"/>
  <c r="V75" i="9" s="1"/>
  <c r="V76" i="9" s="1"/>
  <c r="T74" i="9"/>
  <c r="T75" i="9" s="1"/>
  <c r="T76" i="9" s="1"/>
  <c r="F74" i="9"/>
  <c r="F75" i="9" s="1"/>
  <c r="F76" i="9" s="1"/>
  <c r="X73" i="9"/>
  <c r="W73" i="9"/>
  <c r="U73" i="9"/>
  <c r="U74" i="9" s="1"/>
  <c r="U75" i="9" s="1"/>
  <c r="U76" i="9" s="1"/>
  <c r="S73" i="9"/>
  <c r="R73" i="9"/>
  <c r="R74" i="9" s="1"/>
  <c r="R75" i="9" s="1"/>
  <c r="R76" i="9" s="1"/>
  <c r="Q73" i="9"/>
  <c r="Q74" i="9" s="1"/>
  <c r="Q75" i="9" s="1"/>
  <c r="Q76" i="9" s="1"/>
  <c r="P73" i="9"/>
  <c r="P74" i="9" s="1"/>
  <c r="P75" i="9" s="1"/>
  <c r="P76" i="9" s="1"/>
  <c r="O73" i="9"/>
  <c r="N73" i="9"/>
  <c r="N74" i="9" s="1"/>
  <c r="N75" i="9" s="1"/>
  <c r="N76" i="9" s="1"/>
  <c r="M73" i="9"/>
  <c r="M74" i="9" s="1"/>
  <c r="M75" i="9" s="1"/>
  <c r="M76" i="9" s="1"/>
  <c r="L73" i="9"/>
  <c r="L74" i="9" s="1"/>
  <c r="L75" i="9" s="1"/>
  <c r="L76" i="9" s="1"/>
  <c r="K73" i="9"/>
  <c r="K74" i="9" s="1"/>
  <c r="K75" i="9" s="1"/>
  <c r="K76" i="9" s="1"/>
  <c r="J73" i="9"/>
  <c r="I73" i="9"/>
  <c r="I74" i="9" s="1"/>
  <c r="I75" i="9" s="1"/>
  <c r="I76" i="9" s="1"/>
  <c r="H73" i="9"/>
  <c r="G73" i="9"/>
  <c r="G74" i="9" s="1"/>
  <c r="G75" i="9" s="1"/>
  <c r="G76" i="9" s="1"/>
  <c r="E73" i="9"/>
  <c r="E74" i="9" s="1"/>
  <c r="E75" i="9" s="1"/>
  <c r="E76" i="9" s="1"/>
  <c r="D73" i="9"/>
  <c r="D74" i="9" s="1"/>
  <c r="D75" i="9" s="1"/>
  <c r="D76" i="9" s="1"/>
  <c r="C73" i="9"/>
  <c r="C74" i="9" s="1"/>
  <c r="C75" i="9" s="1"/>
  <c r="B73" i="9"/>
  <c r="B74" i="9" s="1"/>
  <c r="B75" i="9" s="1"/>
  <c r="B76" i="9" s="1"/>
  <c r="X71" i="9"/>
  <c r="F71" i="9"/>
  <c r="S70" i="9"/>
  <c r="S71" i="9" s="1"/>
  <c r="O70" i="9"/>
  <c r="O71" i="9" s="1"/>
  <c r="I70" i="9"/>
  <c r="I71" i="9" s="1"/>
  <c r="W69" i="9"/>
  <c r="W70" i="9" s="1"/>
  <c r="W71" i="9" s="1"/>
  <c r="V69" i="9"/>
  <c r="V70" i="9" s="1"/>
  <c r="V71" i="9" s="1"/>
  <c r="T69" i="9"/>
  <c r="T70" i="9" s="1"/>
  <c r="T71" i="9" s="1"/>
  <c r="H69" i="9"/>
  <c r="H70" i="9" s="1"/>
  <c r="H71" i="9" s="1"/>
  <c r="C69" i="9"/>
  <c r="C70" i="9" s="1"/>
  <c r="X68" i="9"/>
  <c r="X69" i="9" s="1"/>
  <c r="U68" i="9"/>
  <c r="U69" i="9" s="1"/>
  <c r="U70" i="9" s="1"/>
  <c r="U71" i="9" s="1"/>
  <c r="S68" i="9"/>
  <c r="R68" i="9"/>
  <c r="R69" i="9" s="1"/>
  <c r="R70" i="9" s="1"/>
  <c r="R71" i="9" s="1"/>
  <c r="Q68" i="9"/>
  <c r="Q69" i="9" s="1"/>
  <c r="Q70" i="9" s="1"/>
  <c r="Q71" i="9" s="1"/>
  <c r="P68" i="9"/>
  <c r="P69" i="9" s="1"/>
  <c r="P70" i="9" s="1"/>
  <c r="P71" i="9" s="1"/>
  <c r="O68" i="9"/>
  <c r="N68" i="9"/>
  <c r="N69" i="9" s="1"/>
  <c r="N70" i="9" s="1"/>
  <c r="N71" i="9" s="1"/>
  <c r="M68" i="9"/>
  <c r="M69" i="9" s="1"/>
  <c r="M70" i="9" s="1"/>
  <c r="M71" i="9" s="1"/>
  <c r="L68" i="9"/>
  <c r="L69" i="9" s="1"/>
  <c r="L70" i="9" s="1"/>
  <c r="L71" i="9" s="1"/>
  <c r="K68" i="9"/>
  <c r="K69" i="9" s="1"/>
  <c r="K70" i="9" s="1"/>
  <c r="K71" i="9" s="1"/>
  <c r="J68" i="9"/>
  <c r="J69" i="9" s="1"/>
  <c r="J70" i="9" s="1"/>
  <c r="J71" i="9" s="1"/>
  <c r="I68" i="9"/>
  <c r="G68" i="9"/>
  <c r="G69" i="9" s="1"/>
  <c r="G70" i="9" s="1"/>
  <c r="G71" i="9" s="1"/>
  <c r="F68" i="9"/>
  <c r="F69" i="9" s="1"/>
  <c r="E68" i="9"/>
  <c r="E69" i="9" s="1"/>
  <c r="E70" i="9" s="1"/>
  <c r="E71" i="9" s="1"/>
  <c r="D68" i="9"/>
  <c r="D69" i="9" s="1"/>
  <c r="D70" i="9" s="1"/>
  <c r="D71" i="9" s="1"/>
  <c r="C68" i="9"/>
  <c r="B68" i="9"/>
  <c r="B69" i="9" s="1"/>
  <c r="B70" i="9" s="1"/>
  <c r="B71" i="9" s="1"/>
  <c r="B66" i="9"/>
  <c r="X65" i="9"/>
  <c r="X66" i="9" s="1"/>
  <c r="Q65" i="9"/>
  <c r="Q66" i="9" s="1"/>
  <c r="U64" i="9"/>
  <c r="U65" i="9" s="1"/>
  <c r="U66" i="9" s="1"/>
  <c r="E64" i="9"/>
  <c r="E65" i="9" s="1"/>
  <c r="E66" i="9" s="1"/>
  <c r="X63" i="9"/>
  <c r="W63" i="9"/>
  <c r="W64" i="9" s="1"/>
  <c r="W65" i="9" s="1"/>
  <c r="W66" i="9" s="1"/>
  <c r="V63" i="9"/>
  <c r="V64" i="9" s="1"/>
  <c r="V65" i="9" s="1"/>
  <c r="V66" i="9" s="1"/>
  <c r="U63" i="9"/>
  <c r="T63" i="9"/>
  <c r="T64" i="9" s="1"/>
  <c r="T65" i="9" s="1"/>
  <c r="T66" i="9" s="1"/>
  <c r="S63" i="9"/>
  <c r="S64" i="9" s="1"/>
  <c r="S65" i="9" s="1"/>
  <c r="S66" i="9" s="1"/>
  <c r="R63" i="9"/>
  <c r="R64" i="9" s="1"/>
  <c r="R65" i="9" s="1"/>
  <c r="R66" i="9" s="1"/>
  <c r="Q63" i="9"/>
  <c r="P63" i="9"/>
  <c r="P64" i="9" s="1"/>
  <c r="P65" i="9" s="1"/>
  <c r="P66" i="9" s="1"/>
  <c r="O63" i="9"/>
  <c r="O64" i="9" s="1"/>
  <c r="O65" i="9" s="1"/>
  <c r="O66" i="9" s="1"/>
  <c r="N63" i="9"/>
  <c r="N64" i="9" s="1"/>
  <c r="N65" i="9" s="1"/>
  <c r="N66" i="9" s="1"/>
  <c r="M63" i="9"/>
  <c r="M64" i="9" s="1"/>
  <c r="M65" i="9" s="1"/>
  <c r="M66" i="9" s="1"/>
  <c r="L63" i="9"/>
  <c r="L64" i="9" s="1"/>
  <c r="L65" i="9" s="1"/>
  <c r="L66" i="9" s="1"/>
  <c r="K63" i="9"/>
  <c r="K64" i="9" s="1"/>
  <c r="K65" i="9" s="1"/>
  <c r="K66" i="9" s="1"/>
  <c r="J63" i="9"/>
  <c r="J64" i="9" s="1"/>
  <c r="J65" i="9" s="1"/>
  <c r="J66" i="9" s="1"/>
  <c r="I63" i="9"/>
  <c r="I64" i="9" s="1"/>
  <c r="I65" i="9" s="1"/>
  <c r="I66" i="9" s="1"/>
  <c r="H63" i="9"/>
  <c r="H64" i="9" s="1"/>
  <c r="H65" i="9" s="1"/>
  <c r="H66" i="9" s="1"/>
  <c r="G63" i="9"/>
  <c r="G64" i="9" s="1"/>
  <c r="G65" i="9" s="1"/>
  <c r="G66" i="9" s="1"/>
  <c r="F63" i="9"/>
  <c r="F64" i="9" s="1"/>
  <c r="F65" i="9" s="1"/>
  <c r="F66" i="9" s="1"/>
  <c r="D63" i="9"/>
  <c r="D64" i="9" s="1"/>
  <c r="D65" i="9" s="1"/>
  <c r="D66" i="9" s="1"/>
  <c r="C63" i="9"/>
  <c r="C64" i="9" s="1"/>
  <c r="C65" i="9" s="1"/>
  <c r="C66" i="9" s="1"/>
  <c r="B63" i="9"/>
  <c r="B64" i="9" s="1"/>
  <c r="B65" i="9" s="1"/>
  <c r="X61" i="9"/>
  <c r="H61" i="9"/>
  <c r="T60" i="9"/>
  <c r="T61" i="9" s="1"/>
  <c r="O60" i="9"/>
  <c r="O61" i="9" s="1"/>
  <c r="F60" i="9"/>
  <c r="F61" i="9" s="1"/>
  <c r="V59" i="9"/>
  <c r="V60" i="9" s="1"/>
  <c r="V61" i="9" s="1"/>
  <c r="U59" i="9"/>
  <c r="U60" i="9" s="1"/>
  <c r="U61" i="9" s="1"/>
  <c r="S59" i="9"/>
  <c r="S60" i="9" s="1"/>
  <c r="S61" i="9" s="1"/>
  <c r="X58" i="9"/>
  <c r="X59" i="9" s="1"/>
  <c r="W58" i="9"/>
  <c r="W59" i="9" s="1"/>
  <c r="W60" i="9" s="1"/>
  <c r="W61" i="9" s="1"/>
  <c r="T58" i="9"/>
  <c r="R58" i="9"/>
  <c r="R59" i="9" s="1"/>
  <c r="R60" i="9" s="1"/>
  <c r="R61" i="9" s="1"/>
  <c r="Q58" i="9"/>
  <c r="Q59" i="9" s="1"/>
  <c r="Q60" i="9" s="1"/>
  <c r="Q61" i="9" s="1"/>
  <c r="P58" i="9"/>
  <c r="P59" i="9" s="1"/>
  <c r="P60" i="9" s="1"/>
  <c r="P61" i="9" s="1"/>
  <c r="O58" i="9"/>
  <c r="N58" i="9"/>
  <c r="N59" i="9" s="1"/>
  <c r="N60" i="9" s="1"/>
  <c r="N61" i="9" s="1"/>
  <c r="M58" i="9"/>
  <c r="M59" i="9" s="1"/>
  <c r="M60" i="9" s="1"/>
  <c r="M61" i="9" s="1"/>
  <c r="L58" i="9"/>
  <c r="L59" i="9" s="1"/>
  <c r="L60" i="9" s="1"/>
  <c r="L61" i="9" s="1"/>
  <c r="K58" i="9"/>
  <c r="K59" i="9" s="1"/>
  <c r="K60" i="9" s="1"/>
  <c r="K61" i="9" s="1"/>
  <c r="J58" i="9"/>
  <c r="J59" i="9" s="1"/>
  <c r="J60" i="9" s="1"/>
  <c r="J61" i="9" s="1"/>
  <c r="I58" i="9"/>
  <c r="I59" i="9" s="1"/>
  <c r="I60" i="9" s="1"/>
  <c r="I61" i="9" s="1"/>
  <c r="H58" i="9"/>
  <c r="H59" i="9" s="1"/>
  <c r="G58" i="9"/>
  <c r="G59" i="9" s="1"/>
  <c r="G60" i="9" s="1"/>
  <c r="G61" i="9" s="1"/>
  <c r="F58" i="9"/>
  <c r="E58" i="9"/>
  <c r="E59" i="9" s="1"/>
  <c r="E60" i="9" s="1"/>
  <c r="E61" i="9" s="1"/>
  <c r="D58" i="9"/>
  <c r="D59" i="9" s="1"/>
  <c r="D60" i="9" s="1"/>
  <c r="D61" i="9" s="1"/>
  <c r="C58" i="9"/>
  <c r="C59" i="9" s="1"/>
  <c r="C60" i="9" s="1"/>
  <c r="C61" i="9" s="1"/>
  <c r="B58" i="9"/>
  <c r="B59" i="9" s="1"/>
  <c r="B60" i="9" s="1"/>
  <c r="H56" i="9"/>
  <c r="C56" i="9"/>
  <c r="X55" i="9"/>
  <c r="X56" i="9" s="1"/>
  <c r="T55" i="9"/>
  <c r="T56" i="9" s="1"/>
  <c r="M55" i="9"/>
  <c r="M56" i="9" s="1"/>
  <c r="E55" i="9"/>
  <c r="E56" i="9" s="1"/>
  <c r="W54" i="9"/>
  <c r="W55" i="9" s="1"/>
  <c r="W56" i="9" s="1"/>
  <c r="V54" i="9"/>
  <c r="V55" i="9" s="1"/>
  <c r="V56" i="9" s="1"/>
  <c r="S54" i="9"/>
  <c r="S55" i="9" s="1"/>
  <c r="S56" i="9" s="1"/>
  <c r="R54" i="9"/>
  <c r="R55" i="9" s="1"/>
  <c r="R56" i="9" s="1"/>
  <c r="O54" i="9"/>
  <c r="O55" i="9" s="1"/>
  <c r="O56" i="9" s="1"/>
  <c r="X53" i="9"/>
  <c r="U53" i="9"/>
  <c r="U54" i="9" s="1"/>
  <c r="U55" i="9" s="1"/>
  <c r="U56" i="9" s="1"/>
  <c r="T53" i="9"/>
  <c r="Q53" i="9"/>
  <c r="Q54" i="9" s="1"/>
  <c r="Q55" i="9" s="1"/>
  <c r="Q56" i="9" s="1"/>
  <c r="P53" i="9"/>
  <c r="P54" i="9" s="1"/>
  <c r="P55" i="9" s="1"/>
  <c r="P56" i="9" s="1"/>
  <c r="N53" i="9"/>
  <c r="N54" i="9" s="1"/>
  <c r="N55" i="9" s="1"/>
  <c r="N56" i="9" s="1"/>
  <c r="M53" i="9"/>
  <c r="L53" i="9"/>
  <c r="L54" i="9" s="1"/>
  <c r="L55" i="9" s="1"/>
  <c r="L56" i="9" s="1"/>
  <c r="K53" i="9"/>
  <c r="K54" i="9" s="1"/>
  <c r="K55" i="9" s="1"/>
  <c r="K56" i="9" s="1"/>
  <c r="J53" i="9"/>
  <c r="J54" i="9" s="1"/>
  <c r="J55" i="9" s="1"/>
  <c r="J56" i="9" s="1"/>
  <c r="I53" i="9"/>
  <c r="I54" i="9" s="1"/>
  <c r="I55" i="9" s="1"/>
  <c r="I56" i="9" s="1"/>
  <c r="H53" i="9"/>
  <c r="H54" i="9" s="1"/>
  <c r="G53" i="9"/>
  <c r="G54" i="9" s="1"/>
  <c r="G55" i="9" s="1"/>
  <c r="G56" i="9" s="1"/>
  <c r="F53" i="9"/>
  <c r="F54" i="9" s="1"/>
  <c r="F55" i="9" s="1"/>
  <c r="F56" i="9" s="1"/>
  <c r="D53" i="9"/>
  <c r="D54" i="9" s="1"/>
  <c r="D55" i="9" s="1"/>
  <c r="D56" i="9" s="1"/>
  <c r="C53" i="9"/>
  <c r="C54" i="9" s="1"/>
  <c r="B53" i="9"/>
  <c r="B54" i="9" s="1"/>
  <c r="B55" i="9" s="1"/>
  <c r="B56" i="9" s="1"/>
  <c r="G51" i="9"/>
  <c r="B51" i="9"/>
  <c r="X50" i="9"/>
  <c r="X51" i="9" s="1"/>
  <c r="K50" i="9"/>
  <c r="K51" i="9" s="1"/>
  <c r="H50" i="9"/>
  <c r="H51" i="9" s="1"/>
  <c r="T49" i="9"/>
  <c r="T50" i="9" s="1"/>
  <c r="T51" i="9" s="1"/>
  <c r="S49" i="9"/>
  <c r="S50" i="9" s="1"/>
  <c r="S51" i="9" s="1"/>
  <c r="R49" i="9"/>
  <c r="R50" i="9" s="1"/>
  <c r="R51" i="9" s="1"/>
  <c r="O49" i="9"/>
  <c r="O50" i="9" s="1"/>
  <c r="O51" i="9" s="1"/>
  <c r="J49" i="9"/>
  <c r="J50" i="9" s="1"/>
  <c r="J51" i="9" s="1"/>
  <c r="I49" i="9"/>
  <c r="I50" i="9" s="1"/>
  <c r="I51" i="9" s="1"/>
  <c r="X48" i="9"/>
  <c r="W48" i="9"/>
  <c r="W49" i="9" s="1"/>
  <c r="W50" i="9" s="1"/>
  <c r="W51" i="9" s="1"/>
  <c r="V48" i="9"/>
  <c r="V49" i="9" s="1"/>
  <c r="V50" i="9" s="1"/>
  <c r="V51" i="9" s="1"/>
  <c r="U48" i="9"/>
  <c r="U49" i="9" s="1"/>
  <c r="U50" i="9" s="1"/>
  <c r="U51" i="9" s="1"/>
  <c r="Q48" i="9"/>
  <c r="Q49" i="9" s="1"/>
  <c r="Q50" i="9" s="1"/>
  <c r="Q51" i="9" s="1"/>
  <c r="P48" i="9"/>
  <c r="P49" i="9" s="1"/>
  <c r="P50" i="9" s="1"/>
  <c r="P51" i="9" s="1"/>
  <c r="N48" i="9"/>
  <c r="N49" i="9" s="1"/>
  <c r="N50" i="9" s="1"/>
  <c r="M48" i="9"/>
  <c r="M49" i="9" s="1"/>
  <c r="M50" i="9" s="1"/>
  <c r="M51" i="9" s="1"/>
  <c r="L48" i="9"/>
  <c r="L49" i="9" s="1"/>
  <c r="L50" i="9" s="1"/>
  <c r="L51" i="9" s="1"/>
  <c r="K48" i="9"/>
  <c r="H48" i="9"/>
  <c r="G48" i="9"/>
  <c r="G49" i="9" s="1"/>
  <c r="F48" i="9"/>
  <c r="F49" i="9" s="1"/>
  <c r="F50" i="9" s="1"/>
  <c r="F51" i="9" s="1"/>
  <c r="E48" i="9"/>
  <c r="E49" i="9" s="1"/>
  <c r="E50" i="9" s="1"/>
  <c r="E51" i="9" s="1"/>
  <c r="D48" i="9"/>
  <c r="D49" i="9" s="1"/>
  <c r="D50" i="9" s="1"/>
  <c r="D51" i="9" s="1"/>
  <c r="C48" i="9"/>
  <c r="C49" i="9" s="1"/>
  <c r="C50" i="9" s="1"/>
  <c r="B48" i="9"/>
  <c r="B49" i="9" s="1"/>
  <c r="R45" i="9"/>
  <c r="R46" i="9" s="1"/>
  <c r="F45" i="9"/>
  <c r="F46" i="9" s="1"/>
  <c r="X43" i="9"/>
  <c r="X44" i="9" s="1"/>
  <c r="X45" i="9" s="1"/>
  <c r="X46" i="9" s="1"/>
  <c r="W43" i="9"/>
  <c r="W44" i="9" s="1"/>
  <c r="W45" i="9" s="1"/>
  <c r="W46" i="9" s="1"/>
  <c r="V43" i="9"/>
  <c r="V44" i="9" s="1"/>
  <c r="V45" i="9" s="1"/>
  <c r="V46" i="9" s="1"/>
  <c r="U43" i="9"/>
  <c r="U44" i="9" s="1"/>
  <c r="U45" i="9" s="1"/>
  <c r="U46" i="9" s="1"/>
  <c r="T43" i="9"/>
  <c r="T44" i="9" s="1"/>
  <c r="T45" i="9" s="1"/>
  <c r="T46" i="9" s="1"/>
  <c r="S43" i="9"/>
  <c r="S44" i="9" s="1"/>
  <c r="S45" i="9" s="1"/>
  <c r="S46" i="9" s="1"/>
  <c r="R43" i="9"/>
  <c r="Q43" i="9"/>
  <c r="Q44" i="9" s="1"/>
  <c r="Q45" i="9" s="1"/>
  <c r="Q46" i="9" s="1"/>
  <c r="P43" i="9"/>
  <c r="P44" i="9" s="1"/>
  <c r="P45" i="9" s="1"/>
  <c r="P46" i="9" s="1"/>
  <c r="O43" i="9"/>
  <c r="O44" i="9" s="1"/>
  <c r="O45" i="9" s="1"/>
  <c r="O46" i="9" s="1"/>
  <c r="N43" i="9"/>
  <c r="N44" i="9" s="1"/>
  <c r="N45" i="9" s="1"/>
  <c r="N46" i="9" s="1"/>
  <c r="M43" i="9"/>
  <c r="M44" i="9" s="1"/>
  <c r="M45" i="9" s="1"/>
  <c r="M46" i="9" s="1"/>
  <c r="L43" i="9"/>
  <c r="L44" i="9" s="1"/>
  <c r="L45" i="9" s="1"/>
  <c r="L46" i="9" s="1"/>
  <c r="K43" i="9"/>
  <c r="K44" i="9" s="1"/>
  <c r="J43" i="9"/>
  <c r="J44" i="9" s="1"/>
  <c r="J45" i="9" s="1"/>
  <c r="J46" i="9" s="1"/>
  <c r="I43" i="9"/>
  <c r="I44" i="9" s="1"/>
  <c r="I45" i="9" s="1"/>
  <c r="I46" i="9" s="1"/>
  <c r="H43" i="9"/>
  <c r="H44" i="9" s="1"/>
  <c r="H45" i="9" s="1"/>
  <c r="H46" i="9" s="1"/>
  <c r="G43" i="9"/>
  <c r="G44" i="9" s="1"/>
  <c r="G45" i="9" s="1"/>
  <c r="G46" i="9" s="1"/>
  <c r="F43" i="9"/>
  <c r="E43" i="9"/>
  <c r="E44" i="9" s="1"/>
  <c r="E45" i="9" s="1"/>
  <c r="E46" i="9" s="1"/>
  <c r="D43" i="9"/>
  <c r="D44" i="9" s="1"/>
  <c r="D45" i="9" s="1"/>
  <c r="D46" i="9" s="1"/>
  <c r="C43" i="9"/>
  <c r="C44" i="9" s="1"/>
  <c r="C45" i="9" s="1"/>
  <c r="C46" i="9" s="1"/>
  <c r="B43" i="9"/>
  <c r="B44" i="9" s="1"/>
  <c r="B45" i="9" s="1"/>
  <c r="B46" i="9" s="1"/>
  <c r="P41" i="9"/>
  <c r="I41" i="9"/>
  <c r="X38" i="9"/>
  <c r="X39" i="9" s="1"/>
  <c r="X40" i="9" s="1"/>
  <c r="X41" i="9" s="1"/>
  <c r="W38" i="9"/>
  <c r="W39" i="9" s="1"/>
  <c r="W40" i="9" s="1"/>
  <c r="W41" i="9" s="1"/>
  <c r="V38" i="9"/>
  <c r="V39" i="9" s="1"/>
  <c r="V40" i="9" s="1"/>
  <c r="V41" i="9" s="1"/>
  <c r="U38" i="9"/>
  <c r="U39" i="9" s="1"/>
  <c r="U40" i="9" s="1"/>
  <c r="U41" i="9" s="1"/>
  <c r="T38" i="9"/>
  <c r="T39" i="9" s="1"/>
  <c r="T40" i="9" s="1"/>
  <c r="T41" i="9" s="1"/>
  <c r="S38" i="9"/>
  <c r="S39" i="9" s="1"/>
  <c r="S40" i="9" s="1"/>
  <c r="S41" i="9" s="1"/>
  <c r="R38" i="9"/>
  <c r="R39" i="9" s="1"/>
  <c r="R40" i="9" s="1"/>
  <c r="R41" i="9" s="1"/>
  <c r="Q38" i="9"/>
  <c r="Q39" i="9" s="1"/>
  <c r="Q40" i="9" s="1"/>
  <c r="Q41" i="9" s="1"/>
  <c r="P38" i="9"/>
  <c r="P39" i="9" s="1"/>
  <c r="O38" i="9"/>
  <c r="O39" i="9" s="1"/>
  <c r="O40" i="9" s="1"/>
  <c r="O41" i="9" s="1"/>
  <c r="N38" i="9"/>
  <c r="N39" i="9" s="1"/>
  <c r="N40" i="9" s="1"/>
  <c r="N41" i="9" s="1"/>
  <c r="M38" i="9"/>
  <c r="M39" i="9" s="1"/>
  <c r="M40" i="9" s="1"/>
  <c r="M41" i="9" s="1"/>
  <c r="L38" i="9"/>
  <c r="L39" i="9" s="1"/>
  <c r="L40" i="9" s="1"/>
  <c r="L41" i="9" s="1"/>
  <c r="K38" i="9"/>
  <c r="K39" i="9" s="1"/>
  <c r="K40" i="9" s="1"/>
  <c r="K41" i="9" s="1"/>
  <c r="J38" i="9"/>
  <c r="J39" i="9" s="1"/>
  <c r="J40" i="9" s="1"/>
  <c r="J41" i="9" s="1"/>
  <c r="I38" i="9"/>
  <c r="I39" i="9" s="1"/>
  <c r="H38" i="9"/>
  <c r="H39" i="9" s="1"/>
  <c r="H40" i="9" s="1"/>
  <c r="H41" i="9" s="1"/>
  <c r="G38" i="9"/>
  <c r="G39" i="9" s="1"/>
  <c r="G40" i="9" s="1"/>
  <c r="G41" i="9" s="1"/>
  <c r="F38" i="9"/>
  <c r="F39" i="9" s="1"/>
  <c r="F40" i="9" s="1"/>
  <c r="F41" i="9" s="1"/>
  <c r="E38" i="9"/>
  <c r="E39" i="9" s="1"/>
  <c r="E40" i="9" s="1"/>
  <c r="E41" i="9" s="1"/>
  <c r="D38" i="9"/>
  <c r="D39" i="9" s="1"/>
  <c r="D40" i="9" s="1"/>
  <c r="D41" i="9" s="1"/>
  <c r="C38" i="9"/>
  <c r="C39" i="9" s="1"/>
  <c r="C40" i="9" s="1"/>
  <c r="C41" i="9" s="1"/>
  <c r="B38" i="9"/>
  <c r="B39" i="9" s="1"/>
  <c r="B40" i="9" s="1"/>
  <c r="B41" i="9" s="1"/>
  <c r="X35" i="9"/>
  <c r="X36" i="9" s="1"/>
  <c r="V35" i="9"/>
  <c r="V36" i="9" s="1"/>
  <c r="R35" i="9"/>
  <c r="R36" i="9" s="1"/>
  <c r="Q35" i="9"/>
  <c r="Q36" i="9" s="1"/>
  <c r="E35" i="9"/>
  <c r="E36" i="9" s="1"/>
  <c r="O34" i="9"/>
  <c r="O35" i="9" s="1"/>
  <c r="O36" i="9" s="1"/>
  <c r="N34" i="9"/>
  <c r="N35" i="9" s="1"/>
  <c r="N36" i="9" s="1"/>
  <c r="X33" i="9"/>
  <c r="W33" i="9"/>
  <c r="W34" i="9" s="1"/>
  <c r="W35" i="9" s="1"/>
  <c r="W36" i="9" s="1"/>
  <c r="U33" i="9"/>
  <c r="U34" i="9" s="1"/>
  <c r="U35" i="9" s="1"/>
  <c r="U36" i="9" s="1"/>
  <c r="T33" i="9"/>
  <c r="T34" i="9" s="1"/>
  <c r="T35" i="9" s="1"/>
  <c r="T36" i="9" s="1"/>
  <c r="S33" i="9"/>
  <c r="S34" i="9" s="1"/>
  <c r="S35" i="9" s="1"/>
  <c r="S36" i="9" s="1"/>
  <c r="R33" i="9"/>
  <c r="Q33" i="9"/>
  <c r="P33" i="9"/>
  <c r="P34" i="9" s="1"/>
  <c r="P35" i="9" s="1"/>
  <c r="P36" i="9" s="1"/>
  <c r="M33" i="9"/>
  <c r="M34" i="9" s="1"/>
  <c r="M35" i="9" s="1"/>
  <c r="M36" i="9" s="1"/>
  <c r="L33" i="9"/>
  <c r="L34" i="9" s="1"/>
  <c r="L35" i="9" s="1"/>
  <c r="L36" i="9" s="1"/>
  <c r="K33" i="9"/>
  <c r="K34" i="9" s="1"/>
  <c r="K35" i="9" s="1"/>
  <c r="K36" i="9" s="1"/>
  <c r="J33" i="9"/>
  <c r="J34" i="9" s="1"/>
  <c r="J35" i="9" s="1"/>
  <c r="J36" i="9" s="1"/>
  <c r="I33" i="9"/>
  <c r="I34" i="9" s="1"/>
  <c r="I35" i="9" s="1"/>
  <c r="I36" i="9" s="1"/>
  <c r="H33" i="9"/>
  <c r="H34" i="9" s="1"/>
  <c r="H35" i="9" s="1"/>
  <c r="H36" i="9" s="1"/>
  <c r="G33" i="9"/>
  <c r="G34" i="9" s="1"/>
  <c r="G35" i="9" s="1"/>
  <c r="F33" i="9"/>
  <c r="F34" i="9" s="1"/>
  <c r="F35" i="9" s="1"/>
  <c r="F36" i="9" s="1"/>
  <c r="E33" i="9"/>
  <c r="D33" i="9"/>
  <c r="D34" i="9" s="1"/>
  <c r="D35" i="9" s="1"/>
  <c r="D36" i="9" s="1"/>
  <c r="C33" i="9"/>
  <c r="C34" i="9" s="1"/>
  <c r="C35" i="9" s="1"/>
  <c r="C36" i="9" s="1"/>
  <c r="B33" i="9"/>
  <c r="B34" i="9" s="1"/>
  <c r="B35" i="9" s="1"/>
  <c r="B36" i="9" s="1"/>
  <c r="H31" i="9"/>
  <c r="P30" i="9"/>
  <c r="P31" i="9" s="1"/>
  <c r="Q29" i="9"/>
  <c r="Q30" i="9" s="1"/>
  <c r="Q31" i="9" s="1"/>
  <c r="I29" i="9"/>
  <c r="I30" i="9" s="1"/>
  <c r="I31" i="9" s="1"/>
  <c r="X28" i="9"/>
  <c r="X29" i="9" s="1"/>
  <c r="X30" i="9" s="1"/>
  <c r="X31" i="9" s="1"/>
  <c r="W28" i="9"/>
  <c r="W29" i="9" s="1"/>
  <c r="W30" i="9" s="1"/>
  <c r="W31" i="9" s="1"/>
  <c r="V28" i="9"/>
  <c r="V29" i="9" s="1"/>
  <c r="V30" i="9" s="1"/>
  <c r="V31" i="9" s="1"/>
  <c r="U28" i="9"/>
  <c r="U29" i="9" s="1"/>
  <c r="U30" i="9" s="1"/>
  <c r="U31" i="9" s="1"/>
  <c r="T28" i="9"/>
  <c r="T29" i="9" s="1"/>
  <c r="T30" i="9" s="1"/>
  <c r="T31" i="9" s="1"/>
  <c r="S28" i="9"/>
  <c r="S29" i="9" s="1"/>
  <c r="S30" i="9" s="1"/>
  <c r="S31" i="9" s="1"/>
  <c r="R28" i="9"/>
  <c r="R29" i="9" s="1"/>
  <c r="R30" i="9" s="1"/>
  <c r="R31" i="9" s="1"/>
  <c r="P28" i="9"/>
  <c r="O28" i="9"/>
  <c r="O29" i="9" s="1"/>
  <c r="O30" i="9" s="1"/>
  <c r="O31" i="9" s="1"/>
  <c r="N28" i="9"/>
  <c r="N29" i="9" s="1"/>
  <c r="N30" i="9" s="1"/>
  <c r="N31" i="9" s="1"/>
  <c r="M28" i="9"/>
  <c r="M29" i="9" s="1"/>
  <c r="M30" i="9" s="1"/>
  <c r="M31" i="9" s="1"/>
  <c r="L28" i="9"/>
  <c r="L29" i="9" s="1"/>
  <c r="L30" i="9" s="1"/>
  <c r="L31" i="9" s="1"/>
  <c r="K28" i="9"/>
  <c r="K29" i="9" s="1"/>
  <c r="K30" i="9" s="1"/>
  <c r="K31" i="9" s="1"/>
  <c r="J28" i="9"/>
  <c r="J29" i="9" s="1"/>
  <c r="J30" i="9" s="1"/>
  <c r="J31" i="9" s="1"/>
  <c r="H28" i="9"/>
  <c r="H29" i="9" s="1"/>
  <c r="G28" i="9"/>
  <c r="G29" i="9" s="1"/>
  <c r="G30" i="9" s="1"/>
  <c r="G31" i="9" s="1"/>
  <c r="F28" i="9"/>
  <c r="F29" i="9" s="1"/>
  <c r="F30" i="9" s="1"/>
  <c r="F31" i="9" s="1"/>
  <c r="E28" i="9"/>
  <c r="E29" i="9" s="1"/>
  <c r="E30" i="9" s="1"/>
  <c r="E31" i="9" s="1"/>
  <c r="D28" i="9"/>
  <c r="D29" i="9" s="1"/>
  <c r="D30" i="9" s="1"/>
  <c r="D31" i="9" s="1"/>
  <c r="C28" i="9"/>
  <c r="C29" i="9" s="1"/>
  <c r="C30" i="9" s="1"/>
  <c r="C31" i="9" s="1"/>
  <c r="B28" i="9"/>
  <c r="B29" i="9" s="1"/>
  <c r="B30" i="9" s="1"/>
  <c r="B31" i="9" s="1"/>
  <c r="X26" i="9"/>
  <c r="H26" i="9"/>
  <c r="O25" i="9"/>
  <c r="O26" i="9" s="1"/>
  <c r="M25" i="9"/>
  <c r="M26" i="9" s="1"/>
  <c r="F25" i="9"/>
  <c r="F26" i="9" s="1"/>
  <c r="C25" i="9"/>
  <c r="C26" i="9" s="1"/>
  <c r="W24" i="9"/>
  <c r="W25" i="9" s="1"/>
  <c r="W26" i="9" s="1"/>
  <c r="R24" i="9"/>
  <c r="R25" i="9" s="1"/>
  <c r="R26" i="9" s="1"/>
  <c r="X23" i="9"/>
  <c r="X24" i="9" s="1"/>
  <c r="V23" i="9"/>
  <c r="V24" i="9" s="1"/>
  <c r="V25" i="9" s="1"/>
  <c r="V26" i="9" s="1"/>
  <c r="U23" i="9"/>
  <c r="U24" i="9" s="1"/>
  <c r="U25" i="9" s="1"/>
  <c r="U26" i="9" s="1"/>
  <c r="T23" i="9"/>
  <c r="T24" i="9" s="1"/>
  <c r="T25" i="9" s="1"/>
  <c r="T26" i="9" s="1"/>
  <c r="S23" i="9"/>
  <c r="S24" i="9" s="1"/>
  <c r="S25" i="9" s="1"/>
  <c r="S26" i="9" s="1"/>
  <c r="Q23" i="9"/>
  <c r="Q24" i="9" s="1"/>
  <c r="Q25" i="9" s="1"/>
  <c r="Q26" i="9" s="1"/>
  <c r="P23" i="9"/>
  <c r="P24" i="9" s="1"/>
  <c r="P25" i="9" s="1"/>
  <c r="P26" i="9" s="1"/>
  <c r="O23" i="9"/>
  <c r="N23" i="9"/>
  <c r="N24" i="9" s="1"/>
  <c r="N25" i="9" s="1"/>
  <c r="N26" i="9" s="1"/>
  <c r="M23" i="9"/>
  <c r="L23" i="9"/>
  <c r="L24" i="9" s="1"/>
  <c r="L25" i="9" s="1"/>
  <c r="L26" i="9" s="1"/>
  <c r="K23" i="9"/>
  <c r="K24" i="9" s="1"/>
  <c r="K25" i="9" s="1"/>
  <c r="K26" i="9" s="1"/>
  <c r="J23" i="9"/>
  <c r="J24" i="9" s="1"/>
  <c r="J25" i="9" s="1"/>
  <c r="J26" i="9" s="1"/>
  <c r="I23" i="9"/>
  <c r="I24" i="9" s="1"/>
  <c r="I25" i="9" s="1"/>
  <c r="I26" i="9" s="1"/>
  <c r="H23" i="9"/>
  <c r="H24" i="9" s="1"/>
  <c r="G23" i="9"/>
  <c r="G24" i="9" s="1"/>
  <c r="G25" i="9" s="1"/>
  <c r="G26" i="9" s="1"/>
  <c r="F23" i="9"/>
  <c r="E23" i="9"/>
  <c r="E24" i="9" s="1"/>
  <c r="E25" i="9" s="1"/>
  <c r="E26" i="9" s="1"/>
  <c r="D23" i="9"/>
  <c r="D24" i="9" s="1"/>
  <c r="D25" i="9" s="1"/>
  <c r="D26" i="9" s="1"/>
  <c r="B23" i="9"/>
  <c r="B24" i="9" s="1"/>
  <c r="B25" i="9" s="1"/>
  <c r="B26" i="9" s="1"/>
  <c r="Q21" i="9"/>
  <c r="I21" i="9"/>
  <c r="T20" i="9"/>
  <c r="T21" i="9" s="1"/>
  <c r="V19" i="9"/>
  <c r="V20" i="9" s="1"/>
  <c r="V21" i="9" s="1"/>
  <c r="S19" i="9"/>
  <c r="S20" i="9" s="1"/>
  <c r="S21" i="9" s="1"/>
  <c r="G19" i="9"/>
  <c r="G20" i="9" s="1"/>
  <c r="G21" i="9" s="1"/>
  <c r="B19" i="9"/>
  <c r="B20" i="9" s="1"/>
  <c r="B21" i="9" s="1"/>
  <c r="X18" i="9"/>
  <c r="X19" i="9" s="1"/>
  <c r="X20" i="9" s="1"/>
  <c r="X21" i="9" s="1"/>
  <c r="W18" i="9"/>
  <c r="W19" i="9" s="1"/>
  <c r="W20" i="9" s="1"/>
  <c r="W21" i="9" s="1"/>
  <c r="U18" i="9"/>
  <c r="U19" i="9" s="1"/>
  <c r="U20" i="9" s="1"/>
  <c r="U21" i="9" s="1"/>
  <c r="T18" i="9"/>
  <c r="R18" i="9"/>
  <c r="R19" i="9" s="1"/>
  <c r="R20" i="9" s="1"/>
  <c r="R21" i="9" s="1"/>
  <c r="Q18" i="9"/>
  <c r="Q19" i="9" s="1"/>
  <c r="P18" i="9"/>
  <c r="P19" i="9" s="1"/>
  <c r="P20" i="9" s="1"/>
  <c r="P21" i="9" s="1"/>
  <c r="O18" i="9"/>
  <c r="O19" i="9" s="1"/>
  <c r="O20" i="9" s="1"/>
  <c r="O21" i="9" s="1"/>
  <c r="N18" i="9"/>
  <c r="N19" i="9" s="1"/>
  <c r="N20" i="9" s="1"/>
  <c r="N21" i="9" s="1"/>
  <c r="M18" i="9"/>
  <c r="M19" i="9" s="1"/>
  <c r="M20" i="9" s="1"/>
  <c r="M21" i="9" s="1"/>
  <c r="L18" i="9"/>
  <c r="L19" i="9" s="1"/>
  <c r="L20" i="9" s="1"/>
  <c r="L21" i="9" s="1"/>
  <c r="K18" i="9"/>
  <c r="K19" i="9" s="1"/>
  <c r="K20" i="9" s="1"/>
  <c r="K21" i="9" s="1"/>
  <c r="J18" i="9"/>
  <c r="J19" i="9" s="1"/>
  <c r="J20" i="9" s="1"/>
  <c r="J21" i="9" s="1"/>
  <c r="I18" i="9"/>
  <c r="I19" i="9" s="1"/>
  <c r="H18" i="9"/>
  <c r="H19" i="9" s="1"/>
  <c r="H20" i="9" s="1"/>
  <c r="H21" i="9" s="1"/>
  <c r="F18" i="9"/>
  <c r="F19" i="9" s="1"/>
  <c r="F20" i="9" s="1"/>
  <c r="F21" i="9" s="1"/>
  <c r="E18" i="9"/>
  <c r="E19" i="9" s="1"/>
  <c r="E20" i="9" s="1"/>
  <c r="E21" i="9" s="1"/>
  <c r="D18" i="9"/>
  <c r="D19" i="9" s="1"/>
  <c r="D20" i="9" s="1"/>
  <c r="D21" i="9" s="1"/>
  <c r="C18" i="9"/>
  <c r="C19" i="9" s="1"/>
  <c r="C20" i="9" s="1"/>
  <c r="C21" i="9" s="1"/>
  <c r="R16" i="9"/>
  <c r="O16" i="9"/>
  <c r="K16" i="9"/>
  <c r="G16" i="9"/>
  <c r="F15" i="9"/>
  <c r="F16" i="9" s="1"/>
  <c r="X13" i="9"/>
  <c r="X14" i="9" s="1"/>
  <c r="X15" i="9" s="1"/>
  <c r="X16" i="9" s="1"/>
  <c r="W13" i="9"/>
  <c r="W14" i="9" s="1"/>
  <c r="W15" i="9" s="1"/>
  <c r="W16" i="9" s="1"/>
  <c r="V13" i="9"/>
  <c r="V14" i="9" s="1"/>
  <c r="V15" i="9" s="1"/>
  <c r="V16" i="9" s="1"/>
  <c r="U13" i="9"/>
  <c r="U14" i="9" s="1"/>
  <c r="U15" i="9" s="1"/>
  <c r="U16" i="9" s="1"/>
  <c r="T13" i="9"/>
  <c r="T14" i="9" s="1"/>
  <c r="T15" i="9" s="1"/>
  <c r="T16" i="9" s="1"/>
  <c r="S13" i="9"/>
  <c r="S14" i="9" s="1"/>
  <c r="S15" i="9" s="1"/>
  <c r="S16" i="9" s="1"/>
  <c r="R13" i="9"/>
  <c r="Q13" i="9"/>
  <c r="Q14" i="9" s="1"/>
  <c r="Q15" i="9" s="1"/>
  <c r="Q16" i="9" s="1"/>
  <c r="P13" i="9"/>
  <c r="P14" i="9" s="1"/>
  <c r="P15" i="9" s="1"/>
  <c r="P16" i="9" s="1"/>
  <c r="O13" i="9"/>
  <c r="O14" i="9" s="1"/>
  <c r="N13" i="9"/>
  <c r="N14" i="9" s="1"/>
  <c r="N15" i="9" s="1"/>
  <c r="M13" i="9"/>
  <c r="M14" i="9" s="1"/>
  <c r="M15" i="9" s="1"/>
  <c r="M16" i="9" s="1"/>
  <c r="L13" i="9"/>
  <c r="L14" i="9" s="1"/>
  <c r="L15" i="9" s="1"/>
  <c r="L16" i="9" s="1"/>
  <c r="K13" i="9"/>
  <c r="K14" i="9" s="1"/>
  <c r="J13" i="9"/>
  <c r="J14" i="9" s="1"/>
  <c r="J15" i="9" s="1"/>
  <c r="J16" i="9" s="1"/>
  <c r="I13" i="9"/>
  <c r="I14" i="9" s="1"/>
  <c r="I15" i="9" s="1"/>
  <c r="I16" i="9" s="1"/>
  <c r="H13" i="9"/>
  <c r="H14" i="9" s="1"/>
  <c r="H15" i="9" s="1"/>
  <c r="H16" i="9" s="1"/>
  <c r="G13" i="9"/>
  <c r="G14" i="9" s="1"/>
  <c r="F13" i="9"/>
  <c r="E13" i="9"/>
  <c r="E14" i="9" s="1"/>
  <c r="E15" i="9" s="1"/>
  <c r="E16" i="9" s="1"/>
  <c r="D13" i="9"/>
  <c r="D14" i="9" s="1"/>
  <c r="D15" i="9" s="1"/>
  <c r="D16" i="9" s="1"/>
  <c r="C13" i="9"/>
  <c r="C14" i="9" s="1"/>
  <c r="C15" i="9" s="1"/>
  <c r="C16" i="9" s="1"/>
  <c r="B13" i="9"/>
  <c r="B14" i="9" s="1"/>
  <c r="B15" i="9" s="1"/>
  <c r="B16" i="9" s="1"/>
  <c r="X11" i="9"/>
  <c r="Q11" i="9"/>
  <c r="N11" i="9"/>
  <c r="G11" i="9"/>
  <c r="V9" i="9"/>
  <c r="V10" i="9" s="1"/>
  <c r="V11" i="9" s="1"/>
  <c r="T9" i="9"/>
  <c r="T10" i="9" s="1"/>
  <c r="T11" i="9" s="1"/>
  <c r="S9" i="9"/>
  <c r="S10" i="9" s="1"/>
  <c r="S11" i="9" s="1"/>
  <c r="X8" i="9"/>
  <c r="X9" i="9" s="1"/>
  <c r="W8" i="9"/>
  <c r="W9" i="9" s="1"/>
  <c r="W10" i="9" s="1"/>
  <c r="W11" i="9" s="1"/>
  <c r="U8" i="9"/>
  <c r="U9" i="9" s="1"/>
  <c r="U10" i="9" s="1"/>
  <c r="U11" i="9" s="1"/>
  <c r="R8" i="9"/>
  <c r="R9" i="9" s="1"/>
  <c r="R10" i="9" s="1"/>
  <c r="R11" i="9" s="1"/>
  <c r="Q8" i="9"/>
  <c r="Q9" i="9" s="1"/>
  <c r="P8" i="9"/>
  <c r="P9" i="9" s="1"/>
  <c r="P10" i="9" s="1"/>
  <c r="P11" i="9" s="1"/>
  <c r="O8" i="9"/>
  <c r="O9" i="9" s="1"/>
  <c r="O10" i="9" s="1"/>
  <c r="O11" i="9" s="1"/>
  <c r="N8" i="9"/>
  <c r="N9" i="9" s="1"/>
  <c r="M8" i="9"/>
  <c r="M9" i="9" s="1"/>
  <c r="M10" i="9" s="1"/>
  <c r="M11" i="9" s="1"/>
  <c r="L8" i="9"/>
  <c r="L9" i="9" s="1"/>
  <c r="L10" i="9" s="1"/>
  <c r="L11" i="9" s="1"/>
  <c r="K8" i="9"/>
  <c r="K9" i="9" s="1"/>
  <c r="K10" i="9" s="1"/>
  <c r="K11" i="9" s="1"/>
  <c r="J8" i="9"/>
  <c r="J9" i="9" s="1"/>
  <c r="J10" i="9" s="1"/>
  <c r="J11" i="9" s="1"/>
  <c r="I8" i="9"/>
  <c r="I9" i="9" s="1"/>
  <c r="I10" i="9" s="1"/>
  <c r="I11" i="9" s="1"/>
  <c r="H8" i="9"/>
  <c r="H9" i="9" s="1"/>
  <c r="H10" i="9" s="1"/>
  <c r="H11" i="9" s="1"/>
  <c r="G8" i="9"/>
  <c r="G9" i="9" s="1"/>
  <c r="F8" i="9"/>
  <c r="F9" i="9" s="1"/>
  <c r="F10" i="9" s="1"/>
  <c r="F11" i="9" s="1"/>
  <c r="E8" i="9"/>
  <c r="E9" i="9" s="1"/>
  <c r="E10" i="9" s="1"/>
  <c r="D8" i="9"/>
  <c r="D9" i="9" s="1"/>
  <c r="D10" i="9" s="1"/>
  <c r="D11" i="9" s="1"/>
  <c r="C8" i="9"/>
  <c r="C9" i="9" s="1"/>
  <c r="C10" i="9" s="1"/>
  <c r="C11" i="9" s="1"/>
  <c r="B8" i="9"/>
  <c r="B9" i="9" s="1"/>
  <c r="B10" i="9" s="1"/>
  <c r="B11" i="9" s="1"/>
  <c r="X6" i="9"/>
  <c r="H6" i="9"/>
  <c r="G6" i="9"/>
  <c r="E6" i="9"/>
  <c r="C6" i="9"/>
  <c r="T5" i="9"/>
  <c r="T6" i="9" s="1"/>
  <c r="O5" i="9"/>
  <c r="O6" i="9" s="1"/>
  <c r="W4" i="9"/>
  <c r="W5" i="9" s="1"/>
  <c r="W6" i="9" s="1"/>
  <c r="V4" i="9"/>
  <c r="V5" i="9" s="1"/>
  <c r="V6" i="9" s="1"/>
  <c r="S4" i="9"/>
  <c r="S5" i="9" s="1"/>
  <c r="S6" i="9" s="1"/>
  <c r="F4" i="9"/>
  <c r="F5" i="9" s="1"/>
  <c r="F6" i="9" s="1"/>
  <c r="X3" i="9"/>
  <c r="X4" i="9" s="1"/>
  <c r="U3" i="9"/>
  <c r="U4" i="9" s="1"/>
  <c r="U5" i="9" s="1"/>
  <c r="U6" i="9" s="1"/>
  <c r="T3" i="9"/>
  <c r="R3" i="9"/>
  <c r="R4" i="9" s="1"/>
  <c r="R5" i="9" s="1"/>
  <c r="R6" i="9" s="1"/>
  <c r="Q3" i="9"/>
  <c r="Q4" i="9" s="1"/>
  <c r="Q5" i="9" s="1"/>
  <c r="Q6" i="9" s="1"/>
  <c r="P3" i="9"/>
  <c r="P4" i="9" s="1"/>
  <c r="P5" i="9" s="1"/>
  <c r="P6" i="9" s="1"/>
  <c r="O3" i="9"/>
  <c r="N3" i="9"/>
  <c r="N4" i="9" s="1"/>
  <c r="N5" i="9" s="1"/>
  <c r="N6" i="9" s="1"/>
  <c r="M3" i="9"/>
  <c r="M4" i="9" s="1"/>
  <c r="M5" i="9" s="1"/>
  <c r="M6" i="9" s="1"/>
  <c r="L3" i="9"/>
  <c r="L4" i="9" s="1"/>
  <c r="L5" i="9" s="1"/>
  <c r="L6" i="9" s="1"/>
  <c r="K3" i="9"/>
  <c r="K4" i="9" s="1"/>
  <c r="K5" i="9" s="1"/>
  <c r="K6" i="9" s="1"/>
  <c r="J3" i="9"/>
  <c r="J4" i="9" s="1"/>
  <c r="J5" i="9" s="1"/>
  <c r="J6" i="9" s="1"/>
  <c r="I3" i="9"/>
  <c r="I4" i="9" s="1"/>
  <c r="I5" i="9" s="1"/>
  <c r="I6" i="9" s="1"/>
  <c r="H3" i="9"/>
  <c r="H4" i="9" s="1"/>
  <c r="G3" i="9"/>
  <c r="G4" i="9" s="1"/>
  <c r="E3" i="9"/>
  <c r="E4" i="9" s="1"/>
  <c r="D3" i="9"/>
  <c r="D4" i="9" s="1"/>
  <c r="D5" i="9" s="1"/>
  <c r="D6" i="9" s="1"/>
  <c r="C3" i="9"/>
  <c r="C4" i="9" s="1"/>
  <c r="B3" i="9"/>
  <c r="B4" i="9" s="1"/>
  <c r="B5" i="9" s="1"/>
  <c r="B6" i="9" s="1"/>
  <c r="T76" i="7"/>
  <c r="P76" i="7"/>
  <c r="AH75" i="7"/>
  <c r="AH76" i="7" s="1"/>
  <c r="AG75" i="7"/>
  <c r="AG76" i="7" s="1"/>
  <c r="AF75" i="7"/>
  <c r="AF76" i="7" s="1"/>
  <c r="AC75" i="7"/>
  <c r="AC76" i="7" s="1"/>
  <c r="Y75" i="7"/>
  <c r="Y76" i="7" s="1"/>
  <c r="W75" i="7"/>
  <c r="W76" i="7" s="1"/>
  <c r="R75" i="7"/>
  <c r="R76" i="7" s="1"/>
  <c r="P75" i="7"/>
  <c r="AF74" i="7"/>
  <c r="AD74" i="7"/>
  <c r="AD75" i="7" s="1"/>
  <c r="AD76" i="7" s="1"/>
  <c r="W74" i="7"/>
  <c r="M74" i="7"/>
  <c r="M75" i="7" s="1"/>
  <c r="M76" i="7" s="1"/>
  <c r="F74" i="7"/>
  <c r="F75" i="7" s="1"/>
  <c r="F76" i="7" s="1"/>
  <c r="AH73" i="7"/>
  <c r="AG73" i="7"/>
  <c r="AE73" i="7"/>
  <c r="AE74" i="7" s="1"/>
  <c r="AE75" i="7" s="1"/>
  <c r="AE76" i="7" s="1"/>
  <c r="AC73" i="7"/>
  <c r="AB73" i="7"/>
  <c r="AB74" i="7" s="1"/>
  <c r="AB75" i="7" s="1"/>
  <c r="AB76" i="7" s="1"/>
  <c r="AA73" i="7"/>
  <c r="AA74" i="7" s="1"/>
  <c r="AA75" i="7" s="1"/>
  <c r="AA76" i="7" s="1"/>
  <c r="Z73" i="7"/>
  <c r="Z74" i="7" s="1"/>
  <c r="Z75" i="7" s="1"/>
  <c r="Z76" i="7" s="1"/>
  <c r="Y73" i="7"/>
  <c r="X73" i="7"/>
  <c r="X74" i="7" s="1"/>
  <c r="X75" i="7" s="1"/>
  <c r="X76" i="7" s="1"/>
  <c r="W73" i="7"/>
  <c r="V73" i="7"/>
  <c r="V74" i="7" s="1"/>
  <c r="V75" i="7" s="1"/>
  <c r="V76" i="7" s="1"/>
  <c r="U73" i="7"/>
  <c r="U74" i="7" s="1"/>
  <c r="U75" i="7" s="1"/>
  <c r="U76" i="7" s="1"/>
  <c r="T73" i="7"/>
  <c r="T74" i="7" s="1"/>
  <c r="S73" i="7"/>
  <c r="S74" i="7" s="1"/>
  <c r="S75" i="7" s="1"/>
  <c r="S76" i="7" s="1"/>
  <c r="R73" i="7"/>
  <c r="Q73" i="7"/>
  <c r="Q74" i="7" s="1"/>
  <c r="Q75" i="7" s="1"/>
  <c r="Q76" i="7" s="1"/>
  <c r="P73" i="7"/>
  <c r="O73" i="7"/>
  <c r="O74" i="7" s="1"/>
  <c r="O75" i="7" s="1"/>
  <c r="O76" i="7" s="1"/>
  <c r="N73" i="7"/>
  <c r="N74" i="7" s="1"/>
  <c r="N75" i="7" s="1"/>
  <c r="N76" i="7" s="1"/>
  <c r="L73" i="7"/>
  <c r="L74" i="7" s="1"/>
  <c r="L75" i="7" s="1"/>
  <c r="L76" i="7" s="1"/>
  <c r="K73" i="7"/>
  <c r="K74" i="7" s="1"/>
  <c r="K75" i="7" s="1"/>
  <c r="K76" i="7" s="1"/>
  <c r="J73" i="7"/>
  <c r="J74" i="7" s="1"/>
  <c r="J75" i="7" s="1"/>
  <c r="I73" i="7"/>
  <c r="I74" i="7" s="1"/>
  <c r="I75" i="7" s="1"/>
  <c r="I76" i="7" s="1"/>
  <c r="H73" i="7"/>
  <c r="H74" i="7" s="1"/>
  <c r="H75" i="7" s="1"/>
  <c r="G73" i="7"/>
  <c r="G74" i="7" s="1"/>
  <c r="G75" i="7" s="1"/>
  <c r="G76" i="7" s="1"/>
  <c r="F73" i="7"/>
  <c r="E73" i="7"/>
  <c r="E74" i="7" s="1"/>
  <c r="E75" i="7" s="1"/>
  <c r="E76" i="7" s="1"/>
  <c r="AH71" i="7"/>
  <c r="T71" i="7"/>
  <c r="S71" i="7"/>
  <c r="M71" i="7"/>
  <c r="AC70" i="7"/>
  <c r="AC71" i="7" s="1"/>
  <c r="AA70" i="7"/>
  <c r="AA71" i="7" s="1"/>
  <c r="Y70" i="7"/>
  <c r="Y71" i="7" s="1"/>
  <c r="Q70" i="7"/>
  <c r="Q71" i="7" s="1"/>
  <c r="N70" i="7"/>
  <c r="N71" i="7" s="1"/>
  <c r="AG69" i="7"/>
  <c r="AG70" i="7" s="1"/>
  <c r="AG71" i="7" s="1"/>
  <c r="AF69" i="7"/>
  <c r="AF70" i="7" s="1"/>
  <c r="AF71" i="7" s="1"/>
  <c r="AD69" i="7"/>
  <c r="AD70" i="7" s="1"/>
  <c r="AD71" i="7" s="1"/>
  <c r="Z69" i="7"/>
  <c r="Z70" i="7" s="1"/>
  <c r="Z71" i="7" s="1"/>
  <c r="T69" i="7"/>
  <c r="P69" i="7"/>
  <c r="P70" i="7" s="1"/>
  <c r="P71" i="7" s="1"/>
  <c r="K69" i="7"/>
  <c r="K70" i="7" s="1"/>
  <c r="K71" i="7" s="1"/>
  <c r="AH68" i="7"/>
  <c r="AH69" i="7" s="1"/>
  <c r="AE68" i="7"/>
  <c r="AE69" i="7" s="1"/>
  <c r="AE70" i="7" s="1"/>
  <c r="AE71" i="7" s="1"/>
  <c r="AC68" i="7"/>
  <c r="AB68" i="7"/>
  <c r="AB69" i="7" s="1"/>
  <c r="AB70" i="7" s="1"/>
  <c r="AB71" i="7" s="1"/>
  <c r="AA68" i="7"/>
  <c r="AA69" i="7" s="1"/>
  <c r="Z68" i="7"/>
  <c r="Y68" i="7"/>
  <c r="X68" i="7"/>
  <c r="X69" i="7" s="1"/>
  <c r="X70" i="7" s="1"/>
  <c r="X71" i="7" s="1"/>
  <c r="W68" i="7"/>
  <c r="W69" i="7" s="1"/>
  <c r="W70" i="7" s="1"/>
  <c r="W71" i="7" s="1"/>
  <c r="V68" i="7"/>
  <c r="V69" i="7" s="1"/>
  <c r="V70" i="7" s="1"/>
  <c r="V71" i="7" s="1"/>
  <c r="U68" i="7"/>
  <c r="U69" i="7" s="1"/>
  <c r="U70" i="7" s="1"/>
  <c r="U71" i="7" s="1"/>
  <c r="T68" i="7"/>
  <c r="S68" i="7"/>
  <c r="S69" i="7" s="1"/>
  <c r="S70" i="7" s="1"/>
  <c r="R68" i="7"/>
  <c r="R69" i="7" s="1"/>
  <c r="R70" i="7" s="1"/>
  <c r="R71" i="7" s="1"/>
  <c r="Q68" i="7"/>
  <c r="O68" i="7"/>
  <c r="O69" i="7" s="1"/>
  <c r="O70" i="7" s="1"/>
  <c r="O71" i="7" s="1"/>
  <c r="N68" i="7"/>
  <c r="N69" i="7" s="1"/>
  <c r="M68" i="7"/>
  <c r="M69" i="7" s="1"/>
  <c r="L68" i="7"/>
  <c r="L69" i="7" s="1"/>
  <c r="L70" i="7" s="1"/>
  <c r="L71" i="7" s="1"/>
  <c r="K68" i="7"/>
  <c r="J68" i="7"/>
  <c r="J69" i="7" s="1"/>
  <c r="J70" i="7" s="1"/>
  <c r="I68" i="7"/>
  <c r="I69" i="7" s="1"/>
  <c r="I70" i="7" s="1"/>
  <c r="I71" i="7" s="1"/>
  <c r="H68" i="7"/>
  <c r="H69" i="7" s="1"/>
  <c r="H70" i="7" s="1"/>
  <c r="H71" i="7" s="1"/>
  <c r="G68" i="7"/>
  <c r="G69" i="7" s="1"/>
  <c r="G70" i="7" s="1"/>
  <c r="G71" i="7" s="1"/>
  <c r="F68" i="7"/>
  <c r="F69" i="7" s="1"/>
  <c r="F70" i="7" s="1"/>
  <c r="F71" i="7" s="1"/>
  <c r="E68" i="7"/>
  <c r="E69" i="7" s="1"/>
  <c r="E70" i="7" s="1"/>
  <c r="E71" i="7" s="1"/>
  <c r="AE66" i="7"/>
  <c r="T66" i="7"/>
  <c r="AH65" i="7"/>
  <c r="AH66" i="7" s="1"/>
  <c r="AG65" i="7"/>
  <c r="AG66" i="7" s="1"/>
  <c r="AA65" i="7"/>
  <c r="AA66" i="7" s="1"/>
  <c r="S64" i="7"/>
  <c r="S65" i="7" s="1"/>
  <c r="S66" i="7" s="1"/>
  <c r="L64" i="7"/>
  <c r="L65" i="7" s="1"/>
  <c r="L66" i="7" s="1"/>
  <c r="AH63" i="7"/>
  <c r="AG63" i="7"/>
  <c r="AG64" i="7" s="1"/>
  <c r="AF63" i="7"/>
  <c r="AF64" i="7" s="1"/>
  <c r="AF65" i="7" s="1"/>
  <c r="AF66" i="7" s="1"/>
  <c r="AE63" i="7"/>
  <c r="AE64" i="7" s="1"/>
  <c r="AE65" i="7" s="1"/>
  <c r="AD63" i="7"/>
  <c r="AD64" i="7" s="1"/>
  <c r="AD65" i="7" s="1"/>
  <c r="AD66" i="7" s="1"/>
  <c r="AC63" i="7"/>
  <c r="AC64" i="7" s="1"/>
  <c r="AC65" i="7" s="1"/>
  <c r="AC66" i="7" s="1"/>
  <c r="AB63" i="7"/>
  <c r="AB64" i="7" s="1"/>
  <c r="AB65" i="7" s="1"/>
  <c r="AB66" i="7" s="1"/>
  <c r="AA63" i="7"/>
  <c r="Z63" i="7"/>
  <c r="Z64" i="7" s="1"/>
  <c r="Z65" i="7" s="1"/>
  <c r="Z66" i="7" s="1"/>
  <c r="Y63" i="7"/>
  <c r="Y64" i="7" s="1"/>
  <c r="Y65" i="7" s="1"/>
  <c r="Y66" i="7" s="1"/>
  <c r="X63" i="7"/>
  <c r="X64" i="7" s="1"/>
  <c r="X65" i="7" s="1"/>
  <c r="X66" i="7" s="1"/>
  <c r="W63" i="7"/>
  <c r="W64" i="7" s="1"/>
  <c r="W65" i="7" s="1"/>
  <c r="W66" i="7" s="1"/>
  <c r="V63" i="7"/>
  <c r="V64" i="7" s="1"/>
  <c r="V65" i="7" s="1"/>
  <c r="V66" i="7" s="1"/>
  <c r="U63" i="7"/>
  <c r="U64" i="7" s="1"/>
  <c r="U65" i="7" s="1"/>
  <c r="U66" i="7" s="1"/>
  <c r="T63" i="7"/>
  <c r="T64" i="7" s="1"/>
  <c r="S63" i="7"/>
  <c r="R63" i="7"/>
  <c r="R64" i="7" s="1"/>
  <c r="R65" i="7" s="1"/>
  <c r="R66" i="7" s="1"/>
  <c r="Q63" i="7"/>
  <c r="Q64" i="7" s="1"/>
  <c r="Q65" i="7" s="1"/>
  <c r="Q66" i="7" s="1"/>
  <c r="P63" i="7"/>
  <c r="P64" i="7" s="1"/>
  <c r="P65" i="7" s="1"/>
  <c r="P66" i="7" s="1"/>
  <c r="O63" i="7"/>
  <c r="O64" i="7" s="1"/>
  <c r="O65" i="7" s="1"/>
  <c r="O66" i="7" s="1"/>
  <c r="N63" i="7"/>
  <c r="N64" i="7" s="1"/>
  <c r="N65" i="7" s="1"/>
  <c r="N66" i="7" s="1"/>
  <c r="M63" i="7"/>
  <c r="M64" i="7" s="1"/>
  <c r="M65" i="7" s="1"/>
  <c r="M66" i="7" s="1"/>
  <c r="K63" i="7"/>
  <c r="K64" i="7" s="1"/>
  <c r="K65" i="7" s="1"/>
  <c r="K66" i="7" s="1"/>
  <c r="J63" i="7"/>
  <c r="J64" i="7" s="1"/>
  <c r="J65" i="7" s="1"/>
  <c r="J66" i="7" s="1"/>
  <c r="I63" i="7"/>
  <c r="I64" i="7" s="1"/>
  <c r="I65" i="7" s="1"/>
  <c r="I66" i="7" s="1"/>
  <c r="H63" i="7"/>
  <c r="H64" i="7" s="1"/>
  <c r="H65" i="7" s="1"/>
  <c r="G63" i="7"/>
  <c r="G64" i="7" s="1"/>
  <c r="G65" i="7" s="1"/>
  <c r="G66" i="7" s="1"/>
  <c r="F63" i="7"/>
  <c r="F64" i="7" s="1"/>
  <c r="F65" i="7" s="1"/>
  <c r="F66" i="7" s="1"/>
  <c r="E63" i="7"/>
  <c r="E64" i="7" s="1"/>
  <c r="E65" i="7" s="1"/>
  <c r="E66" i="7" s="1"/>
  <c r="AH61" i="7"/>
  <c r="T61" i="7"/>
  <c r="P61" i="7"/>
  <c r="J61" i="7"/>
  <c r="F61" i="7"/>
  <c r="AD60" i="7"/>
  <c r="AD61" i="7" s="1"/>
  <c r="Y60" i="7"/>
  <c r="Y61" i="7" s="1"/>
  <c r="V60" i="7"/>
  <c r="V61" i="7" s="1"/>
  <c r="R60" i="7"/>
  <c r="R61" i="7" s="1"/>
  <c r="M60" i="7"/>
  <c r="M61" i="7" s="1"/>
  <c r="AF59" i="7"/>
  <c r="AF60" i="7" s="1"/>
  <c r="AF61" i="7" s="1"/>
  <c r="AE59" i="7"/>
  <c r="AE60" i="7" s="1"/>
  <c r="AE61" i="7" s="1"/>
  <c r="AC59" i="7"/>
  <c r="AC60" i="7" s="1"/>
  <c r="AC61" i="7" s="1"/>
  <c r="E59" i="7"/>
  <c r="E60" i="7" s="1"/>
  <c r="E61" i="7" s="1"/>
  <c r="AH58" i="7"/>
  <c r="AH59" i="7" s="1"/>
  <c r="AG58" i="7"/>
  <c r="AG59" i="7" s="1"/>
  <c r="AG60" i="7" s="1"/>
  <c r="AG61" i="7" s="1"/>
  <c r="AD58" i="7"/>
  <c r="AB58" i="7"/>
  <c r="AB59" i="7" s="1"/>
  <c r="AB60" i="7" s="1"/>
  <c r="AB61" i="7" s="1"/>
  <c r="AA58" i="7"/>
  <c r="AA59" i="7" s="1"/>
  <c r="AA60" i="7" s="1"/>
  <c r="AA61" i="7" s="1"/>
  <c r="Z58" i="7"/>
  <c r="Z59" i="7" s="1"/>
  <c r="Z60" i="7" s="1"/>
  <c r="Z61" i="7" s="1"/>
  <c r="Y58" i="7"/>
  <c r="X58" i="7"/>
  <c r="X59" i="7" s="1"/>
  <c r="X60" i="7" s="1"/>
  <c r="X61" i="7" s="1"/>
  <c r="W58" i="7"/>
  <c r="W59" i="7" s="1"/>
  <c r="W60" i="7" s="1"/>
  <c r="W61" i="7" s="1"/>
  <c r="V58" i="7"/>
  <c r="V59" i="7" s="1"/>
  <c r="U58" i="7"/>
  <c r="U59" i="7" s="1"/>
  <c r="U60" i="7" s="1"/>
  <c r="U61" i="7" s="1"/>
  <c r="T58" i="7"/>
  <c r="T59" i="7" s="1"/>
  <c r="S58" i="7"/>
  <c r="S59" i="7" s="1"/>
  <c r="S60" i="7" s="1"/>
  <c r="S61" i="7" s="1"/>
  <c r="R58" i="7"/>
  <c r="R59" i="7" s="1"/>
  <c r="Q58" i="7"/>
  <c r="Q59" i="7" s="1"/>
  <c r="Q60" i="7" s="1"/>
  <c r="Q61" i="7" s="1"/>
  <c r="P58" i="7"/>
  <c r="P59" i="7" s="1"/>
  <c r="O58" i="7"/>
  <c r="O59" i="7" s="1"/>
  <c r="O60" i="7" s="1"/>
  <c r="O61" i="7" s="1"/>
  <c r="N58" i="7"/>
  <c r="N59" i="7" s="1"/>
  <c r="N60" i="7" s="1"/>
  <c r="N61" i="7" s="1"/>
  <c r="M58" i="7"/>
  <c r="L58" i="7"/>
  <c r="L59" i="7" s="1"/>
  <c r="L60" i="7" s="1"/>
  <c r="L61" i="7" s="1"/>
  <c r="K58" i="7"/>
  <c r="K59" i="7" s="1"/>
  <c r="K60" i="7" s="1"/>
  <c r="K61" i="7" s="1"/>
  <c r="J58" i="7"/>
  <c r="J59" i="7" s="1"/>
  <c r="J60" i="7" s="1"/>
  <c r="I58" i="7"/>
  <c r="I59" i="7" s="1"/>
  <c r="I60" i="7" s="1"/>
  <c r="H58" i="7"/>
  <c r="H59" i="7" s="1"/>
  <c r="H60" i="7" s="1"/>
  <c r="H61" i="7" s="1"/>
  <c r="G58" i="7"/>
  <c r="G59" i="7" s="1"/>
  <c r="G60" i="7" s="1"/>
  <c r="G61" i="7" s="1"/>
  <c r="F58" i="7"/>
  <c r="F59" i="7" s="1"/>
  <c r="F60" i="7" s="1"/>
  <c r="E58" i="7"/>
  <c r="P56" i="7"/>
  <c r="J56" i="7"/>
  <c r="AH55" i="7"/>
  <c r="AH56" i="7" s="1"/>
  <c r="AD55" i="7"/>
  <c r="AD56" i="7" s="1"/>
  <c r="V55" i="7"/>
  <c r="V56" i="7" s="1"/>
  <c r="L55" i="7"/>
  <c r="L56" i="7" s="1"/>
  <c r="AG54" i="7"/>
  <c r="AG55" i="7" s="1"/>
  <c r="AG56" i="7" s="1"/>
  <c r="AF54" i="7"/>
  <c r="AF55" i="7" s="1"/>
  <c r="AF56" i="7" s="1"/>
  <c r="AC54" i="7"/>
  <c r="AC55" i="7" s="1"/>
  <c r="AC56" i="7" s="1"/>
  <c r="AB54" i="7"/>
  <c r="AB55" i="7" s="1"/>
  <c r="AB56" i="7" s="1"/>
  <c r="Y54" i="7"/>
  <c r="Y55" i="7" s="1"/>
  <c r="Y56" i="7" s="1"/>
  <c r="G54" i="7"/>
  <c r="G55" i="7" s="1"/>
  <c r="G56" i="7" s="1"/>
  <c r="AH53" i="7"/>
  <c r="AE53" i="7"/>
  <c r="AE54" i="7" s="1"/>
  <c r="AE55" i="7" s="1"/>
  <c r="AE56" i="7" s="1"/>
  <c r="AD53" i="7"/>
  <c r="AA53" i="7"/>
  <c r="AA54" i="7" s="1"/>
  <c r="AA55" i="7" s="1"/>
  <c r="AA56" i="7" s="1"/>
  <c r="Z53" i="7"/>
  <c r="Z54" i="7" s="1"/>
  <c r="Z55" i="7" s="1"/>
  <c r="Z56" i="7" s="1"/>
  <c r="X53" i="7"/>
  <c r="X54" i="7" s="1"/>
  <c r="X55" i="7" s="1"/>
  <c r="X56" i="7" s="1"/>
  <c r="W53" i="7"/>
  <c r="W54" i="7" s="1"/>
  <c r="W55" i="7" s="1"/>
  <c r="W56" i="7" s="1"/>
  <c r="V53" i="7"/>
  <c r="U53" i="7"/>
  <c r="U54" i="7" s="1"/>
  <c r="U55" i="7" s="1"/>
  <c r="U56" i="7" s="1"/>
  <c r="T53" i="7"/>
  <c r="T54" i="7" s="1"/>
  <c r="T55" i="7" s="1"/>
  <c r="S53" i="7"/>
  <c r="S54" i="7" s="1"/>
  <c r="S55" i="7" s="1"/>
  <c r="S56" i="7" s="1"/>
  <c r="R53" i="7"/>
  <c r="R54" i="7" s="1"/>
  <c r="R55" i="7" s="1"/>
  <c r="R56" i="7" s="1"/>
  <c r="Q53" i="7"/>
  <c r="Q54" i="7" s="1"/>
  <c r="Q55" i="7" s="1"/>
  <c r="Q56" i="7" s="1"/>
  <c r="P53" i="7"/>
  <c r="P54" i="7" s="1"/>
  <c r="O53" i="7"/>
  <c r="O54" i="7" s="1"/>
  <c r="O55" i="7" s="1"/>
  <c r="O56" i="7" s="1"/>
  <c r="N53" i="7"/>
  <c r="N54" i="7" s="1"/>
  <c r="N55" i="7" s="1"/>
  <c r="N56" i="7" s="1"/>
  <c r="M53" i="7"/>
  <c r="M54" i="7" s="1"/>
  <c r="M55" i="7" s="1"/>
  <c r="M56" i="7" s="1"/>
  <c r="K53" i="7"/>
  <c r="K54" i="7" s="1"/>
  <c r="K55" i="7" s="1"/>
  <c r="K56" i="7" s="1"/>
  <c r="J53" i="7"/>
  <c r="J54" i="7" s="1"/>
  <c r="I53" i="7"/>
  <c r="I54" i="7" s="1"/>
  <c r="I55" i="7" s="1"/>
  <c r="I56" i="7" s="1"/>
  <c r="H53" i="7"/>
  <c r="H54" i="7" s="1"/>
  <c r="H55" i="7" s="1"/>
  <c r="H56" i="7" s="1"/>
  <c r="G53" i="7"/>
  <c r="F53" i="7"/>
  <c r="F54" i="7" s="1"/>
  <c r="F55" i="7" s="1"/>
  <c r="F56" i="7" s="1"/>
  <c r="E53" i="7"/>
  <c r="E54" i="7" s="1"/>
  <c r="E55" i="7" s="1"/>
  <c r="E56" i="7" s="1"/>
  <c r="AH51" i="7"/>
  <c r="T51" i="7"/>
  <c r="N51" i="7"/>
  <c r="I51" i="7"/>
  <c r="H51" i="7"/>
  <c r="AH50" i="7"/>
  <c r="W50" i="7"/>
  <c r="W51" i="7" s="1"/>
  <c r="S50" i="7"/>
  <c r="S51" i="7" s="1"/>
  <c r="P50" i="7"/>
  <c r="P51" i="7" s="1"/>
  <c r="AD49" i="7"/>
  <c r="AD50" i="7" s="1"/>
  <c r="AD51" i="7" s="1"/>
  <c r="AC49" i="7"/>
  <c r="AC50" i="7" s="1"/>
  <c r="AC51" i="7" s="1"/>
  <c r="AB49" i="7"/>
  <c r="AB50" i="7" s="1"/>
  <c r="AB51" i="7" s="1"/>
  <c r="Y49" i="7"/>
  <c r="Y50" i="7" s="1"/>
  <c r="Y51" i="7" s="1"/>
  <c r="U49" i="7"/>
  <c r="U50" i="7" s="1"/>
  <c r="U51" i="7" s="1"/>
  <c r="R49" i="7"/>
  <c r="R50" i="7" s="1"/>
  <c r="R51" i="7" s="1"/>
  <c r="Q49" i="7"/>
  <c r="Q50" i="7" s="1"/>
  <c r="Q51" i="7" s="1"/>
  <c r="O49" i="7"/>
  <c r="O50" i="7" s="1"/>
  <c r="K49" i="7"/>
  <c r="K50" i="7" s="1"/>
  <c r="K51" i="7" s="1"/>
  <c r="F49" i="7"/>
  <c r="F50" i="7" s="1"/>
  <c r="F51" i="7" s="1"/>
  <c r="AH48" i="7"/>
  <c r="AG48" i="7"/>
  <c r="AG49" i="7" s="1"/>
  <c r="AG50" i="7" s="1"/>
  <c r="AG51" i="7" s="1"/>
  <c r="AF48" i="7"/>
  <c r="AF49" i="7" s="1"/>
  <c r="AF50" i="7" s="1"/>
  <c r="AF51" i="7" s="1"/>
  <c r="AE48" i="7"/>
  <c r="AE49" i="7" s="1"/>
  <c r="AE50" i="7" s="1"/>
  <c r="AE51" i="7" s="1"/>
  <c r="AA48" i="7"/>
  <c r="AA49" i="7" s="1"/>
  <c r="AA50" i="7" s="1"/>
  <c r="AA51" i="7" s="1"/>
  <c r="Z48" i="7"/>
  <c r="Z49" i="7" s="1"/>
  <c r="Z50" i="7" s="1"/>
  <c r="Z51" i="7" s="1"/>
  <c r="X48" i="7"/>
  <c r="X49" i="7" s="1"/>
  <c r="X50" i="7" s="1"/>
  <c r="W48" i="7"/>
  <c r="W49" i="7" s="1"/>
  <c r="V48" i="7"/>
  <c r="V49" i="7" s="1"/>
  <c r="V50" i="7" s="1"/>
  <c r="V51" i="7" s="1"/>
  <c r="U48" i="7"/>
  <c r="T48" i="7"/>
  <c r="T49" i="7" s="1"/>
  <c r="S48" i="7"/>
  <c r="P48" i="7"/>
  <c r="O48" i="7"/>
  <c r="N48" i="7"/>
  <c r="N49" i="7" s="1"/>
  <c r="M48" i="7"/>
  <c r="M49" i="7" s="1"/>
  <c r="M50" i="7" s="1"/>
  <c r="M51" i="7" s="1"/>
  <c r="L48" i="7"/>
  <c r="L49" i="7" s="1"/>
  <c r="L50" i="7" s="1"/>
  <c r="L51" i="7" s="1"/>
  <c r="K48" i="7"/>
  <c r="J48" i="7"/>
  <c r="J49" i="7" s="1"/>
  <c r="J50" i="7" s="1"/>
  <c r="I48" i="7"/>
  <c r="I49" i="7" s="1"/>
  <c r="H48" i="7"/>
  <c r="H49" i="7" s="1"/>
  <c r="G48" i="7"/>
  <c r="G49" i="7" s="1"/>
  <c r="G50" i="7" s="1"/>
  <c r="G51" i="7" s="1"/>
  <c r="F48" i="7"/>
  <c r="E48" i="7"/>
  <c r="E49" i="7" s="1"/>
  <c r="E50" i="7" s="1"/>
  <c r="E51" i="7" s="1"/>
  <c r="AF45" i="7"/>
  <c r="AF46" i="7" s="1"/>
  <c r="AB45" i="7"/>
  <c r="AB46" i="7" s="1"/>
  <c r="M45" i="7"/>
  <c r="M46" i="7" s="1"/>
  <c r="AG44" i="7"/>
  <c r="AG45" i="7" s="1"/>
  <c r="AG46" i="7" s="1"/>
  <c r="U44" i="7"/>
  <c r="U45" i="7" s="1"/>
  <c r="U46" i="7" s="1"/>
  <c r="P44" i="7"/>
  <c r="P45" i="7" s="1"/>
  <c r="P46" i="7" s="1"/>
  <c r="L44" i="7"/>
  <c r="L45" i="7" s="1"/>
  <c r="L46" i="7" s="1"/>
  <c r="E44" i="7"/>
  <c r="E45" i="7" s="1"/>
  <c r="E46" i="7" s="1"/>
  <c r="AH43" i="7"/>
  <c r="AH44" i="7" s="1"/>
  <c r="AH45" i="7" s="1"/>
  <c r="AH46" i="7" s="1"/>
  <c r="AG43" i="7"/>
  <c r="AF43" i="7"/>
  <c r="AF44" i="7" s="1"/>
  <c r="AE43" i="7"/>
  <c r="AE44" i="7" s="1"/>
  <c r="AE45" i="7" s="1"/>
  <c r="AE46" i="7" s="1"/>
  <c r="AD43" i="7"/>
  <c r="AD44" i="7" s="1"/>
  <c r="AD45" i="7" s="1"/>
  <c r="AD46" i="7" s="1"/>
  <c r="AC43" i="7"/>
  <c r="AC44" i="7" s="1"/>
  <c r="AC45" i="7" s="1"/>
  <c r="AC46" i="7" s="1"/>
  <c r="AB43" i="7"/>
  <c r="AA43" i="7"/>
  <c r="AA44" i="7" s="1"/>
  <c r="AA45" i="7" s="1"/>
  <c r="AA46" i="7" s="1"/>
  <c r="Z43" i="7"/>
  <c r="Z44" i="7" s="1"/>
  <c r="Z45" i="7" s="1"/>
  <c r="Z46" i="7" s="1"/>
  <c r="Y43" i="7"/>
  <c r="Y44" i="7" s="1"/>
  <c r="Y45" i="7" s="1"/>
  <c r="Y46" i="7" s="1"/>
  <c r="X43" i="7"/>
  <c r="X44" i="7" s="1"/>
  <c r="X45" i="7" s="1"/>
  <c r="X46" i="7" s="1"/>
  <c r="W43" i="7"/>
  <c r="W44" i="7" s="1"/>
  <c r="W45" i="7" s="1"/>
  <c r="W46" i="7" s="1"/>
  <c r="V43" i="7"/>
  <c r="V44" i="7" s="1"/>
  <c r="V45" i="7" s="1"/>
  <c r="V46" i="7" s="1"/>
  <c r="U43" i="7"/>
  <c r="T43" i="7"/>
  <c r="T44" i="7" s="1"/>
  <c r="T45" i="7" s="1"/>
  <c r="S43" i="7"/>
  <c r="S44" i="7" s="1"/>
  <c r="R43" i="7"/>
  <c r="R44" i="7" s="1"/>
  <c r="R45" i="7" s="1"/>
  <c r="R46" i="7" s="1"/>
  <c r="Q43" i="7"/>
  <c r="Q44" i="7" s="1"/>
  <c r="Q45" i="7" s="1"/>
  <c r="Q46" i="7" s="1"/>
  <c r="P43" i="7"/>
  <c r="O43" i="7"/>
  <c r="O44" i="7" s="1"/>
  <c r="O45" i="7" s="1"/>
  <c r="O46" i="7" s="1"/>
  <c r="N43" i="7"/>
  <c r="N44" i="7" s="1"/>
  <c r="N45" i="7" s="1"/>
  <c r="N46" i="7" s="1"/>
  <c r="M43" i="7"/>
  <c r="L43" i="7"/>
  <c r="K43" i="7"/>
  <c r="K44" i="7" s="1"/>
  <c r="K45" i="7" s="1"/>
  <c r="K46" i="7" s="1"/>
  <c r="J43" i="7"/>
  <c r="J44" i="7" s="1"/>
  <c r="J45" i="7" s="1"/>
  <c r="J46" i="7" s="1"/>
  <c r="I43" i="7"/>
  <c r="I44" i="7" s="1"/>
  <c r="I45" i="7" s="1"/>
  <c r="I46" i="7" s="1"/>
  <c r="H43" i="7"/>
  <c r="H44" i="7" s="1"/>
  <c r="H45" i="7" s="1"/>
  <c r="H46" i="7" s="1"/>
  <c r="G43" i="7"/>
  <c r="G44" i="7" s="1"/>
  <c r="G45" i="7" s="1"/>
  <c r="G46" i="7" s="1"/>
  <c r="F43" i="7"/>
  <c r="F44" i="7" s="1"/>
  <c r="F45" i="7" s="1"/>
  <c r="F46" i="7" s="1"/>
  <c r="E43" i="7"/>
  <c r="Z41" i="7"/>
  <c r="T41" i="7"/>
  <c r="Q41" i="7"/>
  <c r="K40" i="7"/>
  <c r="K41" i="7" s="1"/>
  <c r="AC39" i="7"/>
  <c r="AC40" i="7" s="1"/>
  <c r="AC41" i="7" s="1"/>
  <c r="AB39" i="7"/>
  <c r="AB40" i="7" s="1"/>
  <c r="AB41" i="7" s="1"/>
  <c r="U39" i="7"/>
  <c r="U40" i="7" s="1"/>
  <c r="U41" i="7" s="1"/>
  <c r="T39" i="7"/>
  <c r="M39" i="7"/>
  <c r="M40" i="7" s="1"/>
  <c r="M41" i="7" s="1"/>
  <c r="L39" i="7"/>
  <c r="L40" i="7" s="1"/>
  <c r="L41" i="7" s="1"/>
  <c r="E39" i="7"/>
  <c r="E40" i="7" s="1"/>
  <c r="E41" i="7" s="1"/>
  <c r="AH38" i="7"/>
  <c r="AH39" i="7" s="1"/>
  <c r="AH40" i="7" s="1"/>
  <c r="AH41" i="7" s="1"/>
  <c r="AG38" i="7"/>
  <c r="AG39" i="7" s="1"/>
  <c r="AG40" i="7" s="1"/>
  <c r="AG41" i="7" s="1"/>
  <c r="AF38" i="7"/>
  <c r="AF39" i="7" s="1"/>
  <c r="AF40" i="7" s="1"/>
  <c r="AF41" i="7" s="1"/>
  <c r="AE38" i="7"/>
  <c r="AE39" i="7" s="1"/>
  <c r="AE40" i="7" s="1"/>
  <c r="AE41" i="7" s="1"/>
  <c r="AD38" i="7"/>
  <c r="AD39" i="7" s="1"/>
  <c r="AD40" i="7" s="1"/>
  <c r="AD41" i="7" s="1"/>
  <c r="AC38" i="7"/>
  <c r="AB38" i="7"/>
  <c r="AA38" i="7"/>
  <c r="AA39" i="7" s="1"/>
  <c r="AA40" i="7" s="1"/>
  <c r="AA41" i="7" s="1"/>
  <c r="Z38" i="7"/>
  <c r="Z39" i="7" s="1"/>
  <c r="Y38" i="7"/>
  <c r="Y39" i="7" s="1"/>
  <c r="Y40" i="7" s="1"/>
  <c r="Y41" i="7" s="1"/>
  <c r="X38" i="7"/>
  <c r="X39" i="7" s="1"/>
  <c r="X40" i="7" s="1"/>
  <c r="X41" i="7" s="1"/>
  <c r="W38" i="7"/>
  <c r="W39" i="7" s="1"/>
  <c r="W40" i="7" s="1"/>
  <c r="W41" i="7" s="1"/>
  <c r="V38" i="7"/>
  <c r="V39" i="7" s="1"/>
  <c r="V40" i="7" s="1"/>
  <c r="V41" i="7" s="1"/>
  <c r="U38" i="7"/>
  <c r="T38" i="7"/>
  <c r="S38" i="7"/>
  <c r="S39" i="7" s="1"/>
  <c r="S40" i="7" s="1"/>
  <c r="S41" i="7" s="1"/>
  <c r="R38" i="7"/>
  <c r="R39" i="7" s="1"/>
  <c r="R40" i="7" s="1"/>
  <c r="R41" i="7" s="1"/>
  <c r="Q38" i="7"/>
  <c r="Q39" i="7" s="1"/>
  <c r="P38" i="7"/>
  <c r="P39" i="7" s="1"/>
  <c r="P40" i="7" s="1"/>
  <c r="P41" i="7" s="1"/>
  <c r="O38" i="7"/>
  <c r="O39" i="7" s="1"/>
  <c r="O40" i="7" s="1"/>
  <c r="O41" i="7" s="1"/>
  <c r="N38" i="7"/>
  <c r="N39" i="7" s="1"/>
  <c r="N40" i="7" s="1"/>
  <c r="N41" i="7" s="1"/>
  <c r="M38" i="7"/>
  <c r="L38" i="7"/>
  <c r="K38" i="7"/>
  <c r="K39" i="7" s="1"/>
  <c r="J38" i="7"/>
  <c r="J39" i="7" s="1"/>
  <c r="J40" i="7" s="1"/>
  <c r="J41" i="7" s="1"/>
  <c r="I38" i="7"/>
  <c r="I39" i="7" s="1"/>
  <c r="I40" i="7" s="1"/>
  <c r="I41" i="7" s="1"/>
  <c r="H38" i="7"/>
  <c r="H39" i="7" s="1"/>
  <c r="H40" i="7" s="1"/>
  <c r="G38" i="7"/>
  <c r="G39" i="7" s="1"/>
  <c r="G40" i="7" s="1"/>
  <c r="G41" i="7" s="1"/>
  <c r="F38" i="7"/>
  <c r="F39" i="7" s="1"/>
  <c r="F40" i="7" s="1"/>
  <c r="F41" i="7" s="1"/>
  <c r="E38" i="7"/>
  <c r="AB36" i="7"/>
  <c r="X36" i="7"/>
  <c r="T36" i="7"/>
  <c r="AH35" i="7"/>
  <c r="AH36" i="7" s="1"/>
  <c r="AF35" i="7"/>
  <c r="AF36" i="7" s="1"/>
  <c r="AD35" i="7"/>
  <c r="AD36" i="7" s="1"/>
  <c r="AB35" i="7"/>
  <c r="AA35" i="7"/>
  <c r="AA36" i="7" s="1"/>
  <c r="L35" i="7"/>
  <c r="L36" i="7" s="1"/>
  <c r="H35" i="7"/>
  <c r="H36" i="7" s="1"/>
  <c r="Y34" i="7"/>
  <c r="Y35" i="7" s="1"/>
  <c r="Y36" i="7" s="1"/>
  <c r="X34" i="7"/>
  <c r="X35" i="7" s="1"/>
  <c r="V34" i="7"/>
  <c r="V35" i="7" s="1"/>
  <c r="V36" i="7" s="1"/>
  <c r="N34" i="7"/>
  <c r="N35" i="7" s="1"/>
  <c r="F34" i="7"/>
  <c r="F35" i="7" s="1"/>
  <c r="F36" i="7" s="1"/>
  <c r="AH33" i="7"/>
  <c r="AG33" i="7"/>
  <c r="AG34" i="7" s="1"/>
  <c r="AG35" i="7" s="1"/>
  <c r="AG36" i="7" s="1"/>
  <c r="AE33" i="7"/>
  <c r="AE34" i="7" s="1"/>
  <c r="AE35" i="7" s="1"/>
  <c r="AE36" i="7" s="1"/>
  <c r="AD33" i="7"/>
  <c r="AD34" i="7" s="1"/>
  <c r="AC33" i="7"/>
  <c r="AC34" i="7" s="1"/>
  <c r="AC35" i="7" s="1"/>
  <c r="AC36" i="7" s="1"/>
  <c r="AB33" i="7"/>
  <c r="AA33" i="7"/>
  <c r="Z33" i="7"/>
  <c r="Z34" i="7" s="1"/>
  <c r="Z35" i="7" s="1"/>
  <c r="Z36" i="7" s="1"/>
  <c r="W33" i="7"/>
  <c r="W34" i="7" s="1"/>
  <c r="W35" i="7" s="1"/>
  <c r="W36" i="7" s="1"/>
  <c r="V33" i="7"/>
  <c r="U33" i="7"/>
  <c r="U34" i="7" s="1"/>
  <c r="U35" i="7" s="1"/>
  <c r="U36" i="7" s="1"/>
  <c r="T33" i="7"/>
  <c r="T34" i="7" s="1"/>
  <c r="S33" i="7"/>
  <c r="S34" i="7" s="1"/>
  <c r="S35" i="7" s="1"/>
  <c r="S36" i="7" s="1"/>
  <c r="R33" i="7"/>
  <c r="R34" i="7" s="1"/>
  <c r="R35" i="7" s="1"/>
  <c r="R36" i="7" s="1"/>
  <c r="Q33" i="7"/>
  <c r="Q34" i="7" s="1"/>
  <c r="Q35" i="7" s="1"/>
  <c r="Q36" i="7" s="1"/>
  <c r="P33" i="7"/>
  <c r="P34" i="7" s="1"/>
  <c r="P35" i="7" s="1"/>
  <c r="P36" i="7" s="1"/>
  <c r="O33" i="7"/>
  <c r="O34" i="7" s="1"/>
  <c r="O35" i="7" s="1"/>
  <c r="O36" i="7" s="1"/>
  <c r="N33" i="7"/>
  <c r="M33" i="7"/>
  <c r="M34" i="7" s="1"/>
  <c r="M35" i="7" s="1"/>
  <c r="M36" i="7" s="1"/>
  <c r="L33" i="7"/>
  <c r="K33" i="7"/>
  <c r="K34" i="7" s="1"/>
  <c r="K35" i="7" s="1"/>
  <c r="K36" i="7" s="1"/>
  <c r="J33" i="7"/>
  <c r="J34" i="7" s="1"/>
  <c r="J35" i="7" s="1"/>
  <c r="J36" i="7" s="1"/>
  <c r="I33" i="7"/>
  <c r="I34" i="7" s="1"/>
  <c r="I35" i="7" s="1"/>
  <c r="I36" i="7" s="1"/>
  <c r="H33" i="7"/>
  <c r="H34" i="7" s="1"/>
  <c r="G33" i="7"/>
  <c r="G34" i="7" s="1"/>
  <c r="G35" i="7" s="1"/>
  <c r="G36" i="7" s="1"/>
  <c r="F33" i="7"/>
  <c r="E33" i="7"/>
  <c r="E34" i="7" s="1"/>
  <c r="E35" i="7" s="1"/>
  <c r="E36" i="7" s="1"/>
  <c r="Z31" i="7"/>
  <c r="P31" i="7"/>
  <c r="Z30" i="7"/>
  <c r="AG29" i="7"/>
  <c r="AG30" i="7" s="1"/>
  <c r="AG31" i="7" s="1"/>
  <c r="AA29" i="7"/>
  <c r="AA30" i="7" s="1"/>
  <c r="AA31" i="7" s="1"/>
  <c r="W29" i="7"/>
  <c r="W30" i="7" s="1"/>
  <c r="W31" i="7" s="1"/>
  <c r="Q29" i="7"/>
  <c r="Q30" i="7" s="1"/>
  <c r="Q31" i="7" s="1"/>
  <c r="O29" i="7"/>
  <c r="O30" i="7" s="1"/>
  <c r="O31" i="7" s="1"/>
  <c r="G29" i="7"/>
  <c r="G30" i="7" s="1"/>
  <c r="G31" i="7" s="1"/>
  <c r="AH28" i="7"/>
  <c r="AH29" i="7" s="1"/>
  <c r="AH30" i="7" s="1"/>
  <c r="AH31" i="7" s="1"/>
  <c r="AG28" i="7"/>
  <c r="AF28" i="7"/>
  <c r="AF29" i="7" s="1"/>
  <c r="AF30" i="7" s="1"/>
  <c r="AF31" i="7" s="1"/>
  <c r="AE28" i="7"/>
  <c r="AE29" i="7" s="1"/>
  <c r="AE30" i="7" s="1"/>
  <c r="AE31" i="7" s="1"/>
  <c r="AD28" i="7"/>
  <c r="AD29" i="7" s="1"/>
  <c r="AD30" i="7" s="1"/>
  <c r="AD31" i="7" s="1"/>
  <c r="AC28" i="7"/>
  <c r="AC29" i="7" s="1"/>
  <c r="AC30" i="7" s="1"/>
  <c r="AC31" i="7" s="1"/>
  <c r="AB28" i="7"/>
  <c r="AB29" i="7" s="1"/>
  <c r="AB30" i="7" s="1"/>
  <c r="AB31" i="7" s="1"/>
  <c r="Z28" i="7"/>
  <c r="Y28" i="7"/>
  <c r="Y29" i="7" s="1"/>
  <c r="Y30" i="7" s="1"/>
  <c r="Y31" i="7" s="1"/>
  <c r="X28" i="7"/>
  <c r="X29" i="7" s="1"/>
  <c r="X30" i="7" s="1"/>
  <c r="X31" i="7" s="1"/>
  <c r="W28" i="7"/>
  <c r="V28" i="7"/>
  <c r="V29" i="7" s="1"/>
  <c r="V30" i="7" s="1"/>
  <c r="V31" i="7" s="1"/>
  <c r="U28" i="7"/>
  <c r="U29" i="7" s="1"/>
  <c r="U30" i="7" s="1"/>
  <c r="U31" i="7" s="1"/>
  <c r="T28" i="7"/>
  <c r="T29" i="7" s="1"/>
  <c r="T30" i="7" s="1"/>
  <c r="S28" i="7"/>
  <c r="S29" i="7" s="1"/>
  <c r="S30" i="7" s="1"/>
  <c r="S31" i="7" s="1"/>
  <c r="R28" i="7"/>
  <c r="R29" i="7" s="1"/>
  <c r="R30" i="7" s="1"/>
  <c r="R31" i="7" s="1"/>
  <c r="P28" i="7"/>
  <c r="P29" i="7" s="1"/>
  <c r="O28" i="7"/>
  <c r="N28" i="7"/>
  <c r="N29" i="7" s="1"/>
  <c r="N30" i="7" s="1"/>
  <c r="N31" i="7" s="1"/>
  <c r="M28" i="7"/>
  <c r="M29" i="7" s="1"/>
  <c r="M30" i="7" s="1"/>
  <c r="M31" i="7" s="1"/>
  <c r="L28" i="7"/>
  <c r="L29" i="7" s="1"/>
  <c r="L30" i="7" s="1"/>
  <c r="L31" i="7" s="1"/>
  <c r="K28" i="7"/>
  <c r="K29" i="7" s="1"/>
  <c r="K30" i="7" s="1"/>
  <c r="K31" i="7" s="1"/>
  <c r="J28" i="7"/>
  <c r="J29" i="7" s="1"/>
  <c r="J30" i="7" s="1"/>
  <c r="J31" i="7" s="1"/>
  <c r="I28" i="7"/>
  <c r="I29" i="7" s="1"/>
  <c r="I30" i="7" s="1"/>
  <c r="I31" i="7" s="1"/>
  <c r="H28" i="7"/>
  <c r="H29" i="7" s="1"/>
  <c r="H30" i="7" s="1"/>
  <c r="H31" i="7" s="1"/>
  <c r="G28" i="7"/>
  <c r="F28" i="7"/>
  <c r="F29" i="7" s="1"/>
  <c r="F30" i="7" s="1"/>
  <c r="F31" i="7" s="1"/>
  <c r="E28" i="7"/>
  <c r="E29" i="7" s="1"/>
  <c r="E30" i="7" s="1"/>
  <c r="E31" i="7" s="1"/>
  <c r="AH26" i="7"/>
  <c r="P26" i="7"/>
  <c r="AG25" i="7"/>
  <c r="AG26" i="7" s="1"/>
  <c r="Y25" i="7"/>
  <c r="Y26" i="7" s="1"/>
  <c r="V25" i="7"/>
  <c r="V26" i="7" s="1"/>
  <c r="M25" i="7"/>
  <c r="M26" i="7" s="1"/>
  <c r="J25" i="7"/>
  <c r="J26" i="7" s="1"/>
  <c r="AG24" i="7"/>
  <c r="AD24" i="7"/>
  <c r="AD25" i="7" s="1"/>
  <c r="AD26" i="7" s="1"/>
  <c r="AB24" i="7"/>
  <c r="AB25" i="7" s="1"/>
  <c r="AB26" i="7" s="1"/>
  <c r="H24" i="7"/>
  <c r="H25" i="7" s="1"/>
  <c r="H26" i="7" s="1"/>
  <c r="AH23" i="7"/>
  <c r="AH24" i="7" s="1"/>
  <c r="AF23" i="7"/>
  <c r="AF24" i="7" s="1"/>
  <c r="AF25" i="7" s="1"/>
  <c r="AF26" i="7" s="1"/>
  <c r="AE23" i="7"/>
  <c r="AE24" i="7" s="1"/>
  <c r="AE25" i="7" s="1"/>
  <c r="AE26" i="7" s="1"/>
  <c r="AD23" i="7"/>
  <c r="AC23" i="7"/>
  <c r="AC24" i="7" s="1"/>
  <c r="AC25" i="7" s="1"/>
  <c r="AC26" i="7" s="1"/>
  <c r="AA23" i="7"/>
  <c r="AA24" i="7" s="1"/>
  <c r="AA25" i="7" s="1"/>
  <c r="AA26" i="7" s="1"/>
  <c r="Z23" i="7"/>
  <c r="Z24" i="7" s="1"/>
  <c r="Z25" i="7" s="1"/>
  <c r="Z26" i="7" s="1"/>
  <c r="Y23" i="7"/>
  <c r="X23" i="7"/>
  <c r="X24" i="7" s="1"/>
  <c r="X25" i="7" s="1"/>
  <c r="X26" i="7" s="1"/>
  <c r="W23" i="7"/>
  <c r="W24" i="7" s="1"/>
  <c r="W25" i="7" s="1"/>
  <c r="W26" i="7" s="1"/>
  <c r="V23" i="7"/>
  <c r="U23" i="7"/>
  <c r="U24" i="7" s="1"/>
  <c r="U25" i="7" s="1"/>
  <c r="U26" i="7" s="1"/>
  <c r="T23" i="7"/>
  <c r="T24" i="7" s="1"/>
  <c r="T25" i="7" s="1"/>
  <c r="S23" i="7"/>
  <c r="S24" i="7" s="1"/>
  <c r="S25" i="7" s="1"/>
  <c r="S26" i="7" s="1"/>
  <c r="R23" i="7"/>
  <c r="R24" i="7" s="1"/>
  <c r="R25" i="7" s="1"/>
  <c r="R26" i="7" s="1"/>
  <c r="Q23" i="7"/>
  <c r="Q24" i="7" s="1"/>
  <c r="Q25" i="7" s="1"/>
  <c r="Q26" i="7" s="1"/>
  <c r="P23" i="7"/>
  <c r="P24" i="7" s="1"/>
  <c r="O23" i="7"/>
  <c r="O24" i="7" s="1"/>
  <c r="O25" i="7" s="1"/>
  <c r="O26" i="7" s="1"/>
  <c r="N23" i="7"/>
  <c r="N24" i="7" s="1"/>
  <c r="N25" i="7" s="1"/>
  <c r="N26" i="7" s="1"/>
  <c r="M23" i="7"/>
  <c r="L23" i="7"/>
  <c r="L24" i="7" s="1"/>
  <c r="L25" i="7" s="1"/>
  <c r="L26" i="7" s="1"/>
  <c r="K23" i="7"/>
  <c r="K24" i="7" s="1"/>
  <c r="K25" i="7" s="1"/>
  <c r="K26" i="7" s="1"/>
  <c r="I23" i="7"/>
  <c r="I24" i="7" s="1"/>
  <c r="I25" i="7" s="1"/>
  <c r="I26" i="7" s="1"/>
  <c r="H23" i="7"/>
  <c r="G23" i="7"/>
  <c r="G24" i="7" s="1"/>
  <c r="G25" i="7" s="1"/>
  <c r="G26" i="7" s="1"/>
  <c r="F23" i="7"/>
  <c r="F24" i="7" s="1"/>
  <c r="F25" i="7" s="1"/>
  <c r="F26" i="7" s="1"/>
  <c r="E23" i="7"/>
  <c r="E24" i="7" s="1"/>
  <c r="E25" i="7" s="1"/>
  <c r="E26" i="7" s="1"/>
  <c r="AA21" i="7"/>
  <c r="T21" i="7"/>
  <c r="Q21" i="7"/>
  <c r="AD20" i="7"/>
  <c r="AD21" i="7" s="1"/>
  <c r="H20" i="7"/>
  <c r="H21" i="7" s="1"/>
  <c r="AF19" i="7"/>
  <c r="AF20" i="7" s="1"/>
  <c r="AF21" i="7" s="1"/>
  <c r="AC19" i="7"/>
  <c r="AC20" i="7" s="1"/>
  <c r="AC21" i="7" s="1"/>
  <c r="Y19" i="7"/>
  <c r="Y20" i="7" s="1"/>
  <c r="Y21" i="7" s="1"/>
  <c r="Q19" i="7"/>
  <c r="N19" i="7"/>
  <c r="N20" i="7" s="1"/>
  <c r="N21" i="7" s="1"/>
  <c r="I19" i="7"/>
  <c r="I20" i="7" s="1"/>
  <c r="I21" i="7" s="1"/>
  <c r="AH18" i="7"/>
  <c r="AH19" i="7" s="1"/>
  <c r="AH20" i="7" s="1"/>
  <c r="AH21" i="7" s="1"/>
  <c r="AG18" i="7"/>
  <c r="AG19" i="7" s="1"/>
  <c r="AG20" i="7" s="1"/>
  <c r="AG21" i="7" s="1"/>
  <c r="AE18" i="7"/>
  <c r="AE19" i="7" s="1"/>
  <c r="AE20" i="7" s="1"/>
  <c r="AE21" i="7" s="1"/>
  <c r="AD18" i="7"/>
  <c r="AB18" i="7"/>
  <c r="AB19" i="7" s="1"/>
  <c r="AB20" i="7" s="1"/>
  <c r="AB21" i="7" s="1"/>
  <c r="AA18" i="7"/>
  <c r="AA19" i="7" s="1"/>
  <c r="Z18" i="7"/>
  <c r="Z19" i="7" s="1"/>
  <c r="Z20" i="7" s="1"/>
  <c r="Z21" i="7" s="1"/>
  <c r="Y18" i="7"/>
  <c r="X18" i="7"/>
  <c r="X19" i="7" s="1"/>
  <c r="X20" i="7" s="1"/>
  <c r="X21" i="7" s="1"/>
  <c r="W18" i="7"/>
  <c r="W19" i="7" s="1"/>
  <c r="W20" i="7" s="1"/>
  <c r="W21" i="7" s="1"/>
  <c r="V18" i="7"/>
  <c r="V19" i="7" s="1"/>
  <c r="V20" i="7" s="1"/>
  <c r="V21" i="7" s="1"/>
  <c r="U18" i="7"/>
  <c r="U19" i="7" s="1"/>
  <c r="U20" i="7" s="1"/>
  <c r="U21" i="7" s="1"/>
  <c r="T18" i="7"/>
  <c r="T19" i="7" s="1"/>
  <c r="S18" i="7"/>
  <c r="S19" i="7" s="1"/>
  <c r="S20" i="7" s="1"/>
  <c r="S21" i="7" s="1"/>
  <c r="R18" i="7"/>
  <c r="R19" i="7" s="1"/>
  <c r="R20" i="7" s="1"/>
  <c r="R21" i="7" s="1"/>
  <c r="Q18" i="7"/>
  <c r="P18" i="7"/>
  <c r="P19" i="7" s="1"/>
  <c r="P20" i="7" s="1"/>
  <c r="P21" i="7" s="1"/>
  <c r="O18" i="7"/>
  <c r="O19" i="7" s="1"/>
  <c r="O20" i="7" s="1"/>
  <c r="O21" i="7" s="1"/>
  <c r="M18" i="7"/>
  <c r="M19" i="7" s="1"/>
  <c r="M20" i="7" s="1"/>
  <c r="M21" i="7" s="1"/>
  <c r="L18" i="7"/>
  <c r="L19" i="7" s="1"/>
  <c r="L20" i="7" s="1"/>
  <c r="L21" i="7" s="1"/>
  <c r="K18" i="7"/>
  <c r="K19" i="7" s="1"/>
  <c r="K20" i="7" s="1"/>
  <c r="K21" i="7" s="1"/>
  <c r="J18" i="7"/>
  <c r="J19" i="7" s="1"/>
  <c r="J20" i="7" s="1"/>
  <c r="J21" i="7" s="1"/>
  <c r="H18" i="7"/>
  <c r="G18" i="7"/>
  <c r="G19" i="7" s="1"/>
  <c r="G20" i="7" s="1"/>
  <c r="G21" i="7" s="1"/>
  <c r="F18" i="7"/>
  <c r="F19" i="7" s="1"/>
  <c r="F20" i="7" s="1"/>
  <c r="F21" i="7" s="1"/>
  <c r="E18" i="7"/>
  <c r="E19" i="7" s="1"/>
  <c r="E20" i="7" s="1"/>
  <c r="E21" i="7" s="1"/>
  <c r="AB16" i="7"/>
  <c r="Y16" i="7"/>
  <c r="S16" i="7"/>
  <c r="N16" i="7"/>
  <c r="M15" i="7"/>
  <c r="M16" i="7" s="1"/>
  <c r="AH13" i="7"/>
  <c r="AH14" i="7" s="1"/>
  <c r="AH15" i="7" s="1"/>
  <c r="AH16" i="7" s="1"/>
  <c r="AG13" i="7"/>
  <c r="AG14" i="7" s="1"/>
  <c r="AG15" i="7" s="1"/>
  <c r="AG16" i="7" s="1"/>
  <c r="AF13" i="7"/>
  <c r="AF14" i="7" s="1"/>
  <c r="AF15" i="7" s="1"/>
  <c r="AF16" i="7" s="1"/>
  <c r="AE13" i="7"/>
  <c r="AE14" i="7" s="1"/>
  <c r="AE15" i="7" s="1"/>
  <c r="AE16" i="7" s="1"/>
  <c r="AD13" i="7"/>
  <c r="AD14" i="7" s="1"/>
  <c r="AD15" i="7" s="1"/>
  <c r="AD16" i="7" s="1"/>
  <c r="AC13" i="7"/>
  <c r="AC14" i="7" s="1"/>
  <c r="AC15" i="7" s="1"/>
  <c r="AC16" i="7" s="1"/>
  <c r="AB13" i="7"/>
  <c r="AA13" i="7"/>
  <c r="AA14" i="7" s="1"/>
  <c r="AA15" i="7" s="1"/>
  <c r="AA16" i="7" s="1"/>
  <c r="Z13" i="7"/>
  <c r="Z14" i="7" s="1"/>
  <c r="Z15" i="7" s="1"/>
  <c r="Z16" i="7" s="1"/>
  <c r="Y13" i="7"/>
  <c r="Y14" i="7" s="1"/>
  <c r="X13" i="7"/>
  <c r="X14" i="7" s="1"/>
  <c r="X15" i="7" s="1"/>
  <c r="W13" i="7"/>
  <c r="W14" i="7" s="1"/>
  <c r="W15" i="7" s="1"/>
  <c r="W16" i="7" s="1"/>
  <c r="V13" i="7"/>
  <c r="V14" i="7" s="1"/>
  <c r="V15" i="7" s="1"/>
  <c r="V16" i="7" s="1"/>
  <c r="U13" i="7"/>
  <c r="U14" i="7" s="1"/>
  <c r="U15" i="7" s="1"/>
  <c r="U16" i="7" s="1"/>
  <c r="T13" i="7"/>
  <c r="T14" i="7" s="1"/>
  <c r="T15" i="7" s="1"/>
  <c r="S13" i="7"/>
  <c r="S14" i="7" s="1"/>
  <c r="R13" i="7"/>
  <c r="R14" i="7" s="1"/>
  <c r="R15" i="7" s="1"/>
  <c r="R16" i="7" s="1"/>
  <c r="Q13" i="7"/>
  <c r="Q14" i="7" s="1"/>
  <c r="Q15" i="7" s="1"/>
  <c r="Q16" i="7" s="1"/>
  <c r="P13" i="7"/>
  <c r="P14" i="7" s="1"/>
  <c r="P15" i="7" s="1"/>
  <c r="P16" i="7" s="1"/>
  <c r="O13" i="7"/>
  <c r="O14" i="7" s="1"/>
  <c r="O15" i="7" s="1"/>
  <c r="O16" i="7" s="1"/>
  <c r="N13" i="7"/>
  <c r="N14" i="7" s="1"/>
  <c r="M13" i="7"/>
  <c r="L13" i="7"/>
  <c r="L14" i="7" s="1"/>
  <c r="L15" i="7" s="1"/>
  <c r="L16" i="7" s="1"/>
  <c r="K13" i="7"/>
  <c r="K14" i="7" s="1"/>
  <c r="K15" i="7" s="1"/>
  <c r="K16" i="7" s="1"/>
  <c r="J13" i="7"/>
  <c r="J14" i="7" s="1"/>
  <c r="J15" i="7" s="1"/>
  <c r="J16" i="7" s="1"/>
  <c r="I13" i="7"/>
  <c r="I14" i="7" s="1"/>
  <c r="I15" i="7" s="1"/>
  <c r="I16" i="7" s="1"/>
  <c r="H13" i="7"/>
  <c r="H14" i="7" s="1"/>
  <c r="H15" i="7" s="1"/>
  <c r="G13" i="7"/>
  <c r="G14" i="7" s="1"/>
  <c r="G15" i="7" s="1"/>
  <c r="G16" i="7" s="1"/>
  <c r="F13" i="7"/>
  <c r="F14" i="7" s="1"/>
  <c r="F15" i="7" s="1"/>
  <c r="F16" i="7" s="1"/>
  <c r="E13" i="7"/>
  <c r="E14" i="7" s="1"/>
  <c r="E15" i="7" s="1"/>
  <c r="E16" i="7" s="1"/>
  <c r="AH11" i="7"/>
  <c r="AA11" i="7"/>
  <c r="X11" i="7"/>
  <c r="T11" i="7"/>
  <c r="N11" i="7"/>
  <c r="AF9" i="7"/>
  <c r="AF10" i="7" s="1"/>
  <c r="AF11" i="7" s="1"/>
  <c r="AE9" i="7"/>
  <c r="AE10" i="7" s="1"/>
  <c r="AE11" i="7" s="1"/>
  <c r="AD9" i="7"/>
  <c r="AD10" i="7" s="1"/>
  <c r="AD11" i="7" s="1"/>
  <c r="AC9" i="7"/>
  <c r="AC10" i="7" s="1"/>
  <c r="AC11" i="7" s="1"/>
  <c r="Y9" i="7"/>
  <c r="Y10" i="7" s="1"/>
  <c r="Y11" i="7" s="1"/>
  <c r="Q9" i="7"/>
  <c r="Q10" i="7" s="1"/>
  <c r="Q11" i="7" s="1"/>
  <c r="I9" i="7"/>
  <c r="I10" i="7" s="1"/>
  <c r="I11" i="7" s="1"/>
  <c r="AH8" i="7"/>
  <c r="AH9" i="7" s="1"/>
  <c r="AG8" i="7"/>
  <c r="AG9" i="7" s="1"/>
  <c r="AG10" i="7" s="1"/>
  <c r="AG11" i="7" s="1"/>
  <c r="AE8" i="7"/>
  <c r="AB8" i="7"/>
  <c r="AB9" i="7" s="1"/>
  <c r="AB10" i="7" s="1"/>
  <c r="AB11" i="7" s="1"/>
  <c r="AA8" i="7"/>
  <c r="AA9" i="7" s="1"/>
  <c r="Z8" i="7"/>
  <c r="Z9" i="7" s="1"/>
  <c r="Z10" i="7" s="1"/>
  <c r="Z11" i="7" s="1"/>
  <c r="Y8" i="7"/>
  <c r="X8" i="7"/>
  <c r="X9" i="7" s="1"/>
  <c r="W8" i="7"/>
  <c r="W9" i="7" s="1"/>
  <c r="W10" i="7" s="1"/>
  <c r="W11" i="7" s="1"/>
  <c r="V8" i="7"/>
  <c r="V9" i="7" s="1"/>
  <c r="V10" i="7" s="1"/>
  <c r="V11" i="7" s="1"/>
  <c r="U8" i="7"/>
  <c r="U9" i="7" s="1"/>
  <c r="U10" i="7" s="1"/>
  <c r="U11" i="7" s="1"/>
  <c r="T8" i="7"/>
  <c r="T9" i="7" s="1"/>
  <c r="S8" i="7"/>
  <c r="S9" i="7" s="1"/>
  <c r="S10" i="7" s="1"/>
  <c r="S11" i="7" s="1"/>
  <c r="R8" i="7"/>
  <c r="R9" i="7" s="1"/>
  <c r="R10" i="7" s="1"/>
  <c r="R11" i="7" s="1"/>
  <c r="Q8" i="7"/>
  <c r="P8" i="7"/>
  <c r="P9" i="7" s="1"/>
  <c r="P10" i="7" s="1"/>
  <c r="P11" i="7" s="1"/>
  <c r="O8" i="7"/>
  <c r="O9" i="7" s="1"/>
  <c r="O10" i="7" s="1"/>
  <c r="O11" i="7" s="1"/>
  <c r="N8" i="7"/>
  <c r="N9" i="7" s="1"/>
  <c r="M8" i="7"/>
  <c r="M9" i="7" s="1"/>
  <c r="M10" i="7" s="1"/>
  <c r="M11" i="7" s="1"/>
  <c r="L8" i="7"/>
  <c r="L9" i="7" s="1"/>
  <c r="L10" i="7" s="1"/>
  <c r="K8" i="7"/>
  <c r="K9" i="7" s="1"/>
  <c r="K10" i="7" s="1"/>
  <c r="K11" i="7" s="1"/>
  <c r="J8" i="7"/>
  <c r="J9" i="7" s="1"/>
  <c r="J10" i="7" s="1"/>
  <c r="J11" i="7" s="1"/>
  <c r="I8" i="7"/>
  <c r="H8" i="7"/>
  <c r="H9" i="7" s="1"/>
  <c r="H10" i="7" s="1"/>
  <c r="H11" i="7" s="1"/>
  <c r="G8" i="7"/>
  <c r="G9" i="7" s="1"/>
  <c r="G10" i="7" s="1"/>
  <c r="G11" i="7" s="1"/>
  <c r="F8" i="7"/>
  <c r="F9" i="7" s="1"/>
  <c r="F10" i="7" s="1"/>
  <c r="F11" i="7" s="1"/>
  <c r="E8" i="7"/>
  <c r="E9" i="7" s="1"/>
  <c r="E10" i="7" s="1"/>
  <c r="E11" i="7" s="1"/>
  <c r="AH6" i="7"/>
  <c r="T6" i="7"/>
  <c r="P6" i="7"/>
  <c r="N6" i="7"/>
  <c r="L6" i="7"/>
  <c r="J6" i="7"/>
  <c r="AD5" i="7"/>
  <c r="AD6" i="7" s="1"/>
  <c r="Y5" i="7"/>
  <c r="Y6" i="7" s="1"/>
  <c r="AG4" i="7"/>
  <c r="AG5" i="7" s="1"/>
  <c r="AG6" i="7" s="1"/>
  <c r="AF4" i="7"/>
  <c r="AF5" i="7" s="1"/>
  <c r="AF6" i="7" s="1"/>
  <c r="AC4" i="7"/>
  <c r="AC5" i="7" s="1"/>
  <c r="AC6" i="7" s="1"/>
  <c r="Q4" i="7"/>
  <c r="Q5" i="7" s="1"/>
  <c r="Q6" i="7" s="1"/>
  <c r="M4" i="7"/>
  <c r="M5" i="7" s="1"/>
  <c r="M6" i="7" s="1"/>
  <c r="AH3" i="7"/>
  <c r="AH4" i="7" s="1"/>
  <c r="AE3" i="7"/>
  <c r="AE4" i="7" s="1"/>
  <c r="AE5" i="7" s="1"/>
  <c r="AE6" i="7" s="1"/>
  <c r="AD3" i="7"/>
  <c r="AB3" i="7"/>
  <c r="AB4" i="7" s="1"/>
  <c r="AB5" i="7" s="1"/>
  <c r="AB6" i="7" s="1"/>
  <c r="AA3" i="7"/>
  <c r="AA4" i="7" s="1"/>
  <c r="AA5" i="7" s="1"/>
  <c r="AA6" i="7" s="1"/>
  <c r="Z3" i="7"/>
  <c r="Z4" i="7" s="1"/>
  <c r="Z5" i="7" s="1"/>
  <c r="Z6" i="7" s="1"/>
  <c r="Y3" i="7"/>
  <c r="X3" i="7"/>
  <c r="X4" i="7" s="1"/>
  <c r="X5" i="7" s="1"/>
  <c r="X6" i="7" s="1"/>
  <c r="W3" i="7"/>
  <c r="W4" i="7" s="1"/>
  <c r="W5" i="7" s="1"/>
  <c r="W6" i="7" s="1"/>
  <c r="V3" i="7"/>
  <c r="V4" i="7" s="1"/>
  <c r="V5" i="7" s="1"/>
  <c r="V6" i="7" s="1"/>
  <c r="U3" i="7"/>
  <c r="U4" i="7" s="1"/>
  <c r="U5" i="7" s="1"/>
  <c r="U6" i="7" s="1"/>
  <c r="T3" i="7"/>
  <c r="T4" i="7" s="1"/>
  <c r="S3" i="7"/>
  <c r="S4" i="7" s="1"/>
  <c r="S5" i="7" s="1"/>
  <c r="S6" i="7" s="1"/>
  <c r="R3" i="7"/>
  <c r="R4" i="7" s="1"/>
  <c r="R5" i="7" s="1"/>
  <c r="R6" i="7" s="1"/>
  <c r="Q3" i="7"/>
  <c r="P3" i="7"/>
  <c r="P4" i="7" s="1"/>
  <c r="O3" i="7"/>
  <c r="O4" i="7" s="1"/>
  <c r="O5" i="7" s="1"/>
  <c r="N3" i="7"/>
  <c r="N4" i="7" s="1"/>
  <c r="L3" i="7"/>
  <c r="L4" i="7" s="1"/>
  <c r="K3" i="7"/>
  <c r="K4" i="7" s="1"/>
  <c r="K5" i="7" s="1"/>
  <c r="K6" i="7" s="1"/>
  <c r="J3" i="7"/>
  <c r="J4" i="7" s="1"/>
  <c r="I3" i="7"/>
  <c r="I4" i="7" s="1"/>
  <c r="I5" i="7" s="1"/>
  <c r="I6" i="7" s="1"/>
  <c r="H3" i="7"/>
  <c r="H4" i="7" s="1"/>
  <c r="H5" i="7" s="1"/>
  <c r="H6" i="7" s="1"/>
  <c r="G3" i="7"/>
  <c r="G4" i="7" s="1"/>
  <c r="G5" i="7" s="1"/>
  <c r="G6" i="7" s="1"/>
  <c r="F3" i="7"/>
  <c r="F4" i="7" s="1"/>
  <c r="F5" i="7" s="1"/>
  <c r="F6" i="7" s="1"/>
  <c r="E3" i="7"/>
  <c r="E4" i="7" s="1"/>
  <c r="E5" i="7" s="1"/>
  <c r="E6" i="7" s="1"/>
  <c r="B73" i="6"/>
  <c r="C73" i="6"/>
  <c r="C74" i="6" s="1"/>
  <c r="C75" i="6" s="1"/>
  <c r="C76" i="6" s="1"/>
  <c r="D73" i="6"/>
  <c r="D74" i="6" s="1"/>
  <c r="D75" i="6" s="1"/>
  <c r="D76" i="6" s="1"/>
  <c r="E74" i="6"/>
  <c r="E75" i="6" s="1"/>
  <c r="E76" i="6" s="1"/>
  <c r="F73" i="6"/>
  <c r="F74" i="6" s="1"/>
  <c r="F75" i="6" s="1"/>
  <c r="F76" i="6" s="1"/>
  <c r="G73" i="6"/>
  <c r="H73" i="6"/>
  <c r="H74" i="6" s="1"/>
  <c r="H75" i="6" s="1"/>
  <c r="H76" i="6" s="1"/>
  <c r="I73" i="6"/>
  <c r="J73" i="6"/>
  <c r="J74" i="6" s="1"/>
  <c r="J75" i="6" s="1"/>
  <c r="J76" i="6" s="1"/>
  <c r="K73" i="6"/>
  <c r="K74" i="6" s="1"/>
  <c r="K75" i="6" s="1"/>
  <c r="K76" i="6" s="1"/>
  <c r="L73" i="6"/>
  <c r="L74" i="6" s="1"/>
  <c r="L75" i="6" s="1"/>
  <c r="L76" i="6" s="1"/>
  <c r="M73" i="6"/>
  <c r="M74" i="6" s="1"/>
  <c r="M75" i="6" s="1"/>
  <c r="M76" i="6" s="1"/>
  <c r="N73" i="6"/>
  <c r="N75" i="6" s="1"/>
  <c r="N76" i="6" s="1"/>
  <c r="O73" i="6"/>
  <c r="O74" i="6" s="1"/>
  <c r="O75" i="6" s="1"/>
  <c r="O76" i="6" s="1"/>
  <c r="P73" i="6"/>
  <c r="P74" i="6" s="1"/>
  <c r="P75" i="6" s="1"/>
  <c r="P76" i="6" s="1"/>
  <c r="Q73" i="6"/>
  <c r="Q74" i="6" s="1"/>
  <c r="Q75" i="6" s="1"/>
  <c r="Q76" i="6" s="1"/>
  <c r="R73" i="6"/>
  <c r="R75" i="6" s="1"/>
  <c r="R76" i="6" s="1"/>
  <c r="T73" i="6"/>
  <c r="T74" i="6" s="1"/>
  <c r="T75" i="6" s="1"/>
  <c r="T76" i="6" s="1"/>
  <c r="V73" i="6"/>
  <c r="V75" i="6" s="1"/>
  <c r="V76" i="6" s="1"/>
  <c r="W73" i="6"/>
  <c r="B74" i="6"/>
  <c r="B75" i="6" s="1"/>
  <c r="G75" i="6"/>
  <c r="G76" i="6" s="1"/>
  <c r="I75" i="6"/>
  <c r="I76" i="6" s="1"/>
  <c r="S74" i="6"/>
  <c r="S75" i="6" s="1"/>
  <c r="S76" i="6" s="1"/>
  <c r="U74" i="6"/>
  <c r="U75" i="6" s="1"/>
  <c r="U76" i="6" s="1"/>
  <c r="W75" i="6"/>
  <c r="W76" i="6" s="1"/>
  <c r="B68" i="6"/>
  <c r="B69" i="6" s="1"/>
  <c r="B70" i="6" s="1"/>
  <c r="C68" i="6"/>
  <c r="C69" i="6" s="1"/>
  <c r="C70" i="6" s="1"/>
  <c r="C71" i="6" s="1"/>
  <c r="D68" i="6"/>
  <c r="D69" i="6" s="1"/>
  <c r="D70" i="6" s="1"/>
  <c r="D71" i="6" s="1"/>
  <c r="E68" i="6"/>
  <c r="E69" i="6" s="1"/>
  <c r="E71" i="6" s="1"/>
  <c r="F68" i="6"/>
  <c r="F69" i="6" s="1"/>
  <c r="F70" i="6" s="1"/>
  <c r="F71" i="6" s="1"/>
  <c r="H68" i="6"/>
  <c r="H70" i="6" s="1"/>
  <c r="H71" i="6" s="1"/>
  <c r="I68" i="6"/>
  <c r="I69" i="6" s="1"/>
  <c r="I70" i="6" s="1"/>
  <c r="I71" i="6" s="1"/>
  <c r="J68" i="6"/>
  <c r="J69" i="6" s="1"/>
  <c r="J70" i="6" s="1"/>
  <c r="J71" i="6" s="1"/>
  <c r="K68" i="6"/>
  <c r="K69" i="6" s="1"/>
  <c r="K70" i="6" s="1"/>
  <c r="K71" i="6" s="1"/>
  <c r="L68" i="6"/>
  <c r="L69" i="6" s="1"/>
  <c r="L70" i="6" s="1"/>
  <c r="L71" i="6" s="1"/>
  <c r="M68" i="6"/>
  <c r="M69" i="6" s="1"/>
  <c r="M70" i="6" s="1"/>
  <c r="M71" i="6" s="1"/>
  <c r="N68" i="6"/>
  <c r="N70" i="6" s="1"/>
  <c r="N71" i="6" s="1"/>
  <c r="O68" i="6"/>
  <c r="O69" i="6" s="1"/>
  <c r="O70" i="6" s="1"/>
  <c r="O71" i="6" s="1"/>
  <c r="P68" i="6"/>
  <c r="P69" i="6" s="1"/>
  <c r="P70" i="6" s="1"/>
  <c r="P71" i="6" s="1"/>
  <c r="Q68" i="6"/>
  <c r="Q69" i="6" s="1"/>
  <c r="Q70" i="6" s="1"/>
  <c r="Q71" i="6" s="1"/>
  <c r="R68" i="6"/>
  <c r="R70" i="6" s="1"/>
  <c r="R71" i="6" s="1"/>
  <c r="T68" i="6"/>
  <c r="T69" i="6" s="1"/>
  <c r="T70" i="6" s="1"/>
  <c r="T71" i="6" s="1"/>
  <c r="V69" i="6"/>
  <c r="V70" i="6" s="1"/>
  <c r="V71" i="6" s="1"/>
  <c r="W68" i="6"/>
  <c r="W69" i="6" s="1"/>
  <c r="W71" i="6" s="1"/>
  <c r="G69" i="6"/>
  <c r="G70" i="6" s="1"/>
  <c r="G71" i="6" s="1"/>
  <c r="S69" i="6"/>
  <c r="S70" i="6" s="1"/>
  <c r="S71" i="6" s="1"/>
  <c r="U69" i="6"/>
  <c r="U70" i="6" s="1"/>
  <c r="U71" i="6" s="1"/>
  <c r="B63" i="6"/>
  <c r="B64" i="6" s="1"/>
  <c r="B65" i="6" s="1"/>
  <c r="B66" i="6" s="1"/>
  <c r="C63" i="6"/>
  <c r="C64" i="6" s="1"/>
  <c r="C65" i="6" s="1"/>
  <c r="C66" i="6" s="1"/>
  <c r="E63" i="6"/>
  <c r="E64" i="6" s="1"/>
  <c r="E65" i="6" s="1"/>
  <c r="E66" i="6" s="1"/>
  <c r="F63" i="6"/>
  <c r="F64" i="6" s="1"/>
  <c r="F65" i="6" s="1"/>
  <c r="F66" i="6" s="1"/>
  <c r="G63" i="6"/>
  <c r="G64" i="6" s="1"/>
  <c r="G65" i="6" s="1"/>
  <c r="G66" i="6" s="1"/>
  <c r="H63" i="6"/>
  <c r="H64" i="6" s="1"/>
  <c r="H65" i="6" s="1"/>
  <c r="H66" i="6" s="1"/>
  <c r="I63" i="6"/>
  <c r="I64" i="6" s="1"/>
  <c r="I65" i="6" s="1"/>
  <c r="I66" i="6" s="1"/>
  <c r="J63" i="6"/>
  <c r="J64" i="6" s="1"/>
  <c r="J65" i="6" s="1"/>
  <c r="J66" i="6" s="1"/>
  <c r="K63" i="6"/>
  <c r="K64" i="6" s="1"/>
  <c r="K65" i="6" s="1"/>
  <c r="K66" i="6" s="1"/>
  <c r="L63" i="6"/>
  <c r="L64" i="6" s="1"/>
  <c r="L65" i="6" s="1"/>
  <c r="L66" i="6" s="1"/>
  <c r="M63" i="6"/>
  <c r="M64" i="6" s="1"/>
  <c r="M65" i="6" s="1"/>
  <c r="M66" i="6" s="1"/>
  <c r="N63" i="6"/>
  <c r="N64" i="6" s="1"/>
  <c r="N65" i="6" s="1"/>
  <c r="N66" i="6" s="1"/>
  <c r="O63" i="6"/>
  <c r="O64" i="6" s="1"/>
  <c r="O65" i="6" s="1"/>
  <c r="O66" i="6" s="1"/>
  <c r="P63" i="6"/>
  <c r="Q63" i="6"/>
  <c r="Q64" i="6" s="1"/>
  <c r="Q65" i="6" s="1"/>
  <c r="Q66" i="6" s="1"/>
  <c r="R63" i="6"/>
  <c r="R64" i="6" s="1"/>
  <c r="R65" i="6" s="1"/>
  <c r="R66" i="6" s="1"/>
  <c r="S63" i="6"/>
  <c r="S64" i="6" s="1"/>
  <c r="S65" i="6" s="1"/>
  <c r="S66" i="6" s="1"/>
  <c r="T63" i="6"/>
  <c r="T64" i="6" s="1"/>
  <c r="T65" i="6" s="1"/>
  <c r="T66" i="6" s="1"/>
  <c r="U63" i="6"/>
  <c r="U64" i="6" s="1"/>
  <c r="U65" i="6" s="1"/>
  <c r="U66" i="6" s="1"/>
  <c r="V63" i="6"/>
  <c r="V64" i="6" s="1"/>
  <c r="V65" i="6" s="1"/>
  <c r="V66" i="6" s="1"/>
  <c r="W63" i="6"/>
  <c r="W65" i="6" s="1"/>
  <c r="W66" i="6" s="1"/>
  <c r="D64" i="6"/>
  <c r="D65" i="6" s="1"/>
  <c r="D66" i="6" s="1"/>
  <c r="P65" i="6"/>
  <c r="P66" i="6" s="1"/>
  <c r="B58" i="6"/>
  <c r="B59" i="6" s="1"/>
  <c r="B60" i="6" s="1"/>
  <c r="B61" i="6" s="1"/>
  <c r="C58" i="6"/>
  <c r="C59" i="6" s="1"/>
  <c r="C60" i="6" s="1"/>
  <c r="C61" i="6" s="1"/>
  <c r="D58" i="6"/>
  <c r="D59" i="6" s="1"/>
  <c r="D60" i="6" s="1"/>
  <c r="D61" i="6" s="1"/>
  <c r="E58" i="6"/>
  <c r="E60" i="6" s="1"/>
  <c r="E61" i="6" s="1"/>
  <c r="F58" i="6"/>
  <c r="F59" i="6" s="1"/>
  <c r="F60" i="6" s="1"/>
  <c r="F61" i="6" s="1"/>
  <c r="G58" i="6"/>
  <c r="G59" i="6" s="1"/>
  <c r="G61" i="6" s="1"/>
  <c r="H58" i="6"/>
  <c r="H59" i="6" s="1"/>
  <c r="H60" i="6" s="1"/>
  <c r="H61" i="6" s="1"/>
  <c r="I58" i="6"/>
  <c r="I59" i="6" s="1"/>
  <c r="I60" i="6" s="1"/>
  <c r="I61" i="6" s="1"/>
  <c r="J58" i="6"/>
  <c r="J59" i="6" s="1"/>
  <c r="J60" i="6" s="1"/>
  <c r="J61" i="6" s="1"/>
  <c r="K58" i="6"/>
  <c r="K59" i="6" s="1"/>
  <c r="K60" i="6" s="1"/>
  <c r="K61" i="6" s="1"/>
  <c r="L58" i="6"/>
  <c r="L59" i="6" s="1"/>
  <c r="L60" i="6" s="1"/>
  <c r="L61" i="6" s="1"/>
  <c r="M58" i="6"/>
  <c r="M59" i="6" s="1"/>
  <c r="M60" i="6" s="1"/>
  <c r="M61" i="6" s="1"/>
  <c r="N58" i="6"/>
  <c r="N60" i="6" s="1"/>
  <c r="N61" i="6" s="1"/>
  <c r="O58" i="6"/>
  <c r="O59" i="6" s="1"/>
  <c r="O60" i="6" s="1"/>
  <c r="O61" i="6" s="1"/>
  <c r="P58" i="6"/>
  <c r="P59" i="6" s="1"/>
  <c r="P60" i="6" s="1"/>
  <c r="P61" i="6" s="1"/>
  <c r="Q58" i="6"/>
  <c r="Q59" i="6" s="1"/>
  <c r="Q60" i="6" s="1"/>
  <c r="Q61" i="6" s="1"/>
  <c r="R59" i="6"/>
  <c r="R60" i="6" s="1"/>
  <c r="R61" i="6" s="1"/>
  <c r="S58" i="6"/>
  <c r="S60" i="6" s="1"/>
  <c r="S61" i="6" s="1"/>
  <c r="V58" i="6"/>
  <c r="V59" i="6" s="1"/>
  <c r="V60" i="6" s="1"/>
  <c r="V61" i="6" s="1"/>
  <c r="W58" i="6"/>
  <c r="W59" i="6" s="1"/>
  <c r="W61" i="6" s="1"/>
  <c r="T59" i="6"/>
  <c r="T60" i="6" s="1"/>
  <c r="T61" i="6" s="1"/>
  <c r="U59" i="6"/>
  <c r="U60" i="6" s="1"/>
  <c r="U61" i="6" s="1"/>
  <c r="B53" i="6"/>
  <c r="B54" i="6" s="1"/>
  <c r="B56" i="6" s="1"/>
  <c r="C53" i="6"/>
  <c r="C54" i="6" s="1"/>
  <c r="C55" i="6" s="1"/>
  <c r="C56" i="6" s="1"/>
  <c r="E53" i="6"/>
  <c r="E54" i="6" s="1"/>
  <c r="E55" i="6" s="1"/>
  <c r="E56" i="6" s="1"/>
  <c r="F53" i="6"/>
  <c r="F54" i="6" s="1"/>
  <c r="F55" i="6" s="1"/>
  <c r="F56" i="6" s="1"/>
  <c r="G53" i="6"/>
  <c r="G54" i="6" s="1"/>
  <c r="G56" i="6" s="1"/>
  <c r="H53" i="6"/>
  <c r="H54" i="6" s="1"/>
  <c r="H55" i="6" s="1"/>
  <c r="H56" i="6" s="1"/>
  <c r="I53" i="6"/>
  <c r="I54" i="6" s="1"/>
  <c r="I55" i="6" s="1"/>
  <c r="I56" i="6" s="1"/>
  <c r="J53" i="6"/>
  <c r="J54" i="6" s="1"/>
  <c r="J55" i="6" s="1"/>
  <c r="J56" i="6" s="1"/>
  <c r="K53" i="6"/>
  <c r="K54" i="6" s="1"/>
  <c r="K55" i="6" s="1"/>
  <c r="K56" i="6" s="1"/>
  <c r="L53" i="6"/>
  <c r="M53" i="6"/>
  <c r="M54" i="6" s="1"/>
  <c r="M55" i="6" s="1"/>
  <c r="M56" i="6" s="1"/>
  <c r="N54" i="6"/>
  <c r="N55" i="6" s="1"/>
  <c r="N56" i="6" s="1"/>
  <c r="O53" i="6"/>
  <c r="O54" i="6" s="1"/>
  <c r="O55" i="6" s="1"/>
  <c r="O56" i="6" s="1"/>
  <c r="P53" i="6"/>
  <c r="P54" i="6" s="1"/>
  <c r="P55" i="6" s="1"/>
  <c r="P56" i="6" s="1"/>
  <c r="R54" i="6"/>
  <c r="R55" i="6" s="1"/>
  <c r="R56" i="6" s="1"/>
  <c r="S53" i="6"/>
  <c r="T53" i="6"/>
  <c r="T54" i="6" s="1"/>
  <c r="T55" i="6" s="1"/>
  <c r="T56" i="6" s="1"/>
  <c r="V54" i="6"/>
  <c r="V55" i="6" s="1"/>
  <c r="V56" i="6" s="1"/>
  <c r="W53" i="6"/>
  <c r="D55" i="6"/>
  <c r="D56" i="6" s="1"/>
  <c r="L55" i="6"/>
  <c r="L56" i="6" s="1"/>
  <c r="Q54" i="6"/>
  <c r="Q55" i="6" s="1"/>
  <c r="Q56" i="6" s="1"/>
  <c r="S55" i="6"/>
  <c r="S56" i="6" s="1"/>
  <c r="U54" i="6"/>
  <c r="U55" i="6" s="1"/>
  <c r="U56" i="6" s="1"/>
  <c r="W55" i="6"/>
  <c r="W56" i="6" s="1"/>
  <c r="B48" i="6"/>
  <c r="B49" i="6" s="1"/>
  <c r="B50" i="6" s="1"/>
  <c r="C48" i="6"/>
  <c r="C49" i="6" s="1"/>
  <c r="C50" i="6" s="1"/>
  <c r="C51" i="6" s="1"/>
  <c r="D48" i="6"/>
  <c r="D49" i="6" s="1"/>
  <c r="D50" i="6" s="1"/>
  <c r="D51" i="6" s="1"/>
  <c r="E48" i="6"/>
  <c r="E49" i="6" s="1"/>
  <c r="E50" i="6" s="1"/>
  <c r="E51" i="6" s="1"/>
  <c r="F48" i="6"/>
  <c r="F49" i="6" s="1"/>
  <c r="G48" i="6"/>
  <c r="H49" i="6"/>
  <c r="H50" i="6" s="1"/>
  <c r="H51" i="6" s="1"/>
  <c r="J48" i="6"/>
  <c r="K48" i="6"/>
  <c r="K49" i="6" s="1"/>
  <c r="K50" i="6" s="1"/>
  <c r="K51" i="6" s="1"/>
  <c r="L48" i="6"/>
  <c r="L49" i="6" s="1"/>
  <c r="L50" i="6" s="1"/>
  <c r="L51" i="6" s="1"/>
  <c r="M48" i="6"/>
  <c r="M49" i="6" s="1"/>
  <c r="M50" i="6" s="1"/>
  <c r="N49" i="6"/>
  <c r="N50" i="6" s="1"/>
  <c r="N51" i="6" s="1"/>
  <c r="O48" i="6"/>
  <c r="O49" i="6" s="1"/>
  <c r="O50" i="6" s="1"/>
  <c r="O51" i="6" s="1"/>
  <c r="P48" i="6"/>
  <c r="P49" i="6" s="1"/>
  <c r="P50" i="6" s="1"/>
  <c r="P51" i="6" s="1"/>
  <c r="R49" i="6"/>
  <c r="R50" i="6" s="1"/>
  <c r="R51" i="6" s="1"/>
  <c r="T48" i="6"/>
  <c r="T49" i="6" s="1"/>
  <c r="T50" i="6" s="1"/>
  <c r="T51" i="6" s="1"/>
  <c r="U48" i="6"/>
  <c r="U49" i="6" s="1"/>
  <c r="U50" i="6" s="1"/>
  <c r="U51" i="6" s="1"/>
  <c r="V48" i="6"/>
  <c r="V49" i="6" s="1"/>
  <c r="V50" i="6" s="1"/>
  <c r="V51" i="6" s="1"/>
  <c r="W48" i="6"/>
  <c r="G50" i="6"/>
  <c r="G51" i="6" s="1"/>
  <c r="I49" i="6"/>
  <c r="I50" i="6" s="1"/>
  <c r="I51" i="6" s="1"/>
  <c r="Q49" i="6"/>
  <c r="Q50" i="6" s="1"/>
  <c r="Q51" i="6" s="1"/>
  <c r="S49" i="6"/>
  <c r="S50" i="6" s="1"/>
  <c r="S51" i="6" s="1"/>
  <c r="J50" i="6"/>
  <c r="J51" i="6" s="1"/>
  <c r="W50" i="6"/>
  <c r="W51" i="6" s="1"/>
  <c r="F51" i="6"/>
  <c r="B43" i="6"/>
  <c r="B44" i="6" s="1"/>
  <c r="B45" i="6" s="1"/>
  <c r="B46" i="6" s="1"/>
  <c r="C43" i="6"/>
  <c r="C44" i="6" s="1"/>
  <c r="C45" i="6" s="1"/>
  <c r="C46" i="6" s="1"/>
  <c r="D43" i="6"/>
  <c r="D44" i="6" s="1"/>
  <c r="D45" i="6" s="1"/>
  <c r="D46" i="6" s="1"/>
  <c r="E43" i="6"/>
  <c r="E45" i="6" s="1"/>
  <c r="E46" i="6" s="1"/>
  <c r="F43" i="6"/>
  <c r="F44" i="6" s="1"/>
  <c r="F45" i="6" s="1"/>
  <c r="F46" i="6" s="1"/>
  <c r="G43" i="6"/>
  <c r="G44" i="6" s="1"/>
  <c r="G45" i="6" s="1"/>
  <c r="G46" i="6" s="1"/>
  <c r="H43" i="6"/>
  <c r="H44" i="6" s="1"/>
  <c r="H45" i="6" s="1"/>
  <c r="H46" i="6" s="1"/>
  <c r="I43" i="6"/>
  <c r="I44" i="6" s="1"/>
  <c r="I45" i="6" s="1"/>
  <c r="I46" i="6" s="1"/>
  <c r="J43" i="6"/>
  <c r="J44" i="6" s="1"/>
  <c r="K43" i="6"/>
  <c r="K44" i="6" s="1"/>
  <c r="K45" i="6" s="1"/>
  <c r="K46" i="6" s="1"/>
  <c r="L43" i="6"/>
  <c r="L44" i="6" s="1"/>
  <c r="L45" i="6" s="1"/>
  <c r="L46" i="6" s="1"/>
  <c r="M43" i="6"/>
  <c r="M44" i="6" s="1"/>
  <c r="M45" i="6" s="1"/>
  <c r="M46" i="6" s="1"/>
  <c r="N43" i="6"/>
  <c r="N44" i="6" s="1"/>
  <c r="N45" i="6" s="1"/>
  <c r="N46" i="6" s="1"/>
  <c r="O43" i="6"/>
  <c r="O44" i="6" s="1"/>
  <c r="O45" i="6" s="1"/>
  <c r="O46" i="6" s="1"/>
  <c r="P43" i="6"/>
  <c r="P44" i="6" s="1"/>
  <c r="P45" i="6" s="1"/>
  <c r="P46" i="6" s="1"/>
  <c r="Q43" i="6"/>
  <c r="R43" i="6"/>
  <c r="R44" i="6" s="1"/>
  <c r="R45" i="6" s="1"/>
  <c r="R46" i="6" s="1"/>
  <c r="S43" i="6"/>
  <c r="S44" i="6" s="1"/>
  <c r="S45" i="6" s="1"/>
  <c r="S46" i="6" s="1"/>
  <c r="T43" i="6"/>
  <c r="T44" i="6" s="1"/>
  <c r="T45" i="6" s="1"/>
  <c r="T46" i="6" s="1"/>
  <c r="U43" i="6"/>
  <c r="U44" i="6" s="1"/>
  <c r="U45" i="6" s="1"/>
  <c r="U46" i="6" s="1"/>
  <c r="V43" i="6"/>
  <c r="V44" i="6" s="1"/>
  <c r="V45" i="6" s="1"/>
  <c r="V46" i="6" s="1"/>
  <c r="W43" i="6"/>
  <c r="W44" i="6" s="1"/>
  <c r="W45" i="6" s="1"/>
  <c r="W46" i="6" s="1"/>
  <c r="Q45" i="6"/>
  <c r="Q46" i="6" s="1"/>
  <c r="B38" i="6"/>
  <c r="B39" i="6" s="1"/>
  <c r="B40" i="6" s="1"/>
  <c r="B41" i="6" s="1"/>
  <c r="C38" i="6"/>
  <c r="C39" i="6" s="1"/>
  <c r="C40" i="6" s="1"/>
  <c r="C41" i="6" s="1"/>
  <c r="D38" i="6"/>
  <c r="D39" i="6" s="1"/>
  <c r="D40" i="6" s="1"/>
  <c r="D41" i="6" s="1"/>
  <c r="E38" i="6"/>
  <c r="E39" i="6" s="1"/>
  <c r="E40" i="6" s="1"/>
  <c r="E41" i="6" s="1"/>
  <c r="F38" i="6"/>
  <c r="F39" i="6" s="1"/>
  <c r="F40" i="6" s="1"/>
  <c r="F41" i="6" s="1"/>
  <c r="G38" i="6"/>
  <c r="G39" i="6" s="1"/>
  <c r="G40" i="6" s="1"/>
  <c r="G41" i="6" s="1"/>
  <c r="H38" i="6"/>
  <c r="H39" i="6" s="1"/>
  <c r="H41" i="6" s="1"/>
  <c r="I38" i="6"/>
  <c r="I39" i="6" s="1"/>
  <c r="I40" i="6" s="1"/>
  <c r="I41" i="6" s="1"/>
  <c r="J38" i="6"/>
  <c r="J39" i="6" s="1"/>
  <c r="J40" i="6" s="1"/>
  <c r="J41" i="6" s="1"/>
  <c r="K38" i="6"/>
  <c r="K39" i="6" s="1"/>
  <c r="K40" i="6" s="1"/>
  <c r="K41" i="6" s="1"/>
  <c r="L38" i="6"/>
  <c r="L39" i="6" s="1"/>
  <c r="L40" i="6" s="1"/>
  <c r="L41" i="6" s="1"/>
  <c r="M38" i="6"/>
  <c r="M39" i="6" s="1"/>
  <c r="M40" i="6" s="1"/>
  <c r="M41" i="6" s="1"/>
  <c r="N38" i="6"/>
  <c r="N39" i="6" s="1"/>
  <c r="N40" i="6" s="1"/>
  <c r="N41" i="6" s="1"/>
  <c r="O38" i="6"/>
  <c r="O39" i="6" s="1"/>
  <c r="O41" i="6" s="1"/>
  <c r="P38" i="6"/>
  <c r="P39" i="6" s="1"/>
  <c r="P40" i="6" s="1"/>
  <c r="P41" i="6" s="1"/>
  <c r="Q38" i="6"/>
  <c r="Q39" i="6" s="1"/>
  <c r="Q40" i="6" s="1"/>
  <c r="Q41" i="6" s="1"/>
  <c r="R38" i="6"/>
  <c r="R39" i="6" s="1"/>
  <c r="R40" i="6" s="1"/>
  <c r="R41" i="6" s="1"/>
  <c r="S38" i="6"/>
  <c r="S39" i="6" s="1"/>
  <c r="S40" i="6" s="1"/>
  <c r="S41" i="6" s="1"/>
  <c r="T38" i="6"/>
  <c r="T39" i="6" s="1"/>
  <c r="T40" i="6" s="1"/>
  <c r="T41" i="6" s="1"/>
  <c r="U38" i="6"/>
  <c r="U39" i="6" s="1"/>
  <c r="U40" i="6" s="1"/>
  <c r="U41" i="6" s="1"/>
  <c r="V38" i="6"/>
  <c r="V39" i="6" s="1"/>
  <c r="V40" i="6" s="1"/>
  <c r="V41" i="6" s="1"/>
  <c r="W38" i="6"/>
  <c r="W39" i="6" s="1"/>
  <c r="W40" i="6" s="1"/>
  <c r="W41" i="6" s="1"/>
  <c r="E33" i="6"/>
  <c r="E34" i="6" s="1"/>
  <c r="E35" i="6" s="1"/>
  <c r="E36" i="6" s="1"/>
  <c r="F33" i="6"/>
  <c r="F34" i="6" s="1"/>
  <c r="F35" i="6" s="1"/>
  <c r="G33" i="6"/>
  <c r="G34" i="6" s="1"/>
  <c r="G35" i="6" s="1"/>
  <c r="G36" i="6" s="1"/>
  <c r="H33" i="6"/>
  <c r="H34" i="6" s="1"/>
  <c r="H35" i="6" s="1"/>
  <c r="H36" i="6" s="1"/>
  <c r="I33" i="6"/>
  <c r="I34" i="6" s="1"/>
  <c r="I35" i="6" s="1"/>
  <c r="I36" i="6" s="1"/>
  <c r="J33" i="6"/>
  <c r="J34" i="6" s="1"/>
  <c r="J35" i="6" s="1"/>
  <c r="J36" i="6" s="1"/>
  <c r="K33" i="6"/>
  <c r="K34" i="6" s="1"/>
  <c r="K35" i="6" s="1"/>
  <c r="K36" i="6" s="1"/>
  <c r="L33" i="6"/>
  <c r="L34" i="6" s="1"/>
  <c r="L35" i="6" s="1"/>
  <c r="L36" i="6" s="1"/>
  <c r="M34" i="6"/>
  <c r="M35" i="6" s="1"/>
  <c r="M36" i="6" s="1"/>
  <c r="O33" i="6"/>
  <c r="O34" i="6" s="1"/>
  <c r="O35" i="6" s="1"/>
  <c r="O36" i="6" s="1"/>
  <c r="P33" i="6"/>
  <c r="P35" i="6" s="1"/>
  <c r="P36" i="6" s="1"/>
  <c r="Q33" i="6"/>
  <c r="Q35" i="6" s="1"/>
  <c r="Q36" i="6" s="1"/>
  <c r="R33" i="6"/>
  <c r="R34" i="6" s="1"/>
  <c r="R35" i="6" s="1"/>
  <c r="R36" i="6" s="1"/>
  <c r="S33" i="6"/>
  <c r="S34" i="6" s="1"/>
  <c r="S35" i="6" s="1"/>
  <c r="S36" i="6" s="1"/>
  <c r="T33" i="6"/>
  <c r="T34" i="6" s="1"/>
  <c r="T35" i="6" s="1"/>
  <c r="T36" i="6" s="1"/>
  <c r="U35" i="6"/>
  <c r="U36" i="6" s="1"/>
  <c r="V33" i="6"/>
  <c r="V34" i="6" s="1"/>
  <c r="V35" i="6" s="1"/>
  <c r="V36" i="6" s="1"/>
  <c r="W33" i="6"/>
  <c r="N34" i="6"/>
  <c r="N35" i="6" s="1"/>
  <c r="N36" i="6" s="1"/>
  <c r="W35" i="6"/>
  <c r="W36" i="6" s="1"/>
  <c r="C33" i="6"/>
  <c r="C34" i="6" s="1"/>
  <c r="C35" i="6" s="1"/>
  <c r="C36" i="6" s="1"/>
  <c r="D33" i="6"/>
  <c r="D35" i="6" s="1"/>
  <c r="D36" i="6" s="1"/>
  <c r="B33" i="6"/>
  <c r="B34" i="6" s="1"/>
  <c r="B35" i="6" s="1"/>
  <c r="B36" i="6" s="1"/>
  <c r="B28" i="6"/>
  <c r="B29" i="6" s="1"/>
  <c r="B30" i="6" s="1"/>
  <c r="B31" i="6" s="1"/>
  <c r="C28" i="6"/>
  <c r="C29" i="6" s="1"/>
  <c r="C30" i="6" s="1"/>
  <c r="C31" i="6" s="1"/>
  <c r="D28" i="6"/>
  <c r="D29" i="6" s="1"/>
  <c r="D30" i="6" s="1"/>
  <c r="D31" i="6" s="1"/>
  <c r="E28" i="6"/>
  <c r="E29" i="6" s="1"/>
  <c r="E30" i="6" s="1"/>
  <c r="E31" i="6" s="1"/>
  <c r="F28" i="6"/>
  <c r="F29" i="6" s="1"/>
  <c r="F30" i="6" s="1"/>
  <c r="F31" i="6" s="1"/>
  <c r="G28" i="6"/>
  <c r="G29" i="6" s="1"/>
  <c r="G31" i="6" s="1"/>
  <c r="H29" i="6"/>
  <c r="H30" i="6" s="1"/>
  <c r="H31" i="6" s="1"/>
  <c r="I28" i="6"/>
  <c r="I29" i="6" s="1"/>
  <c r="I30" i="6" s="1"/>
  <c r="I31" i="6" s="1"/>
  <c r="J28" i="6"/>
  <c r="J29" i="6" s="1"/>
  <c r="J30" i="6" s="1"/>
  <c r="J31" i="6" s="1"/>
  <c r="K28" i="6"/>
  <c r="K29" i="6" s="1"/>
  <c r="K30" i="6" s="1"/>
  <c r="K31" i="6" s="1"/>
  <c r="L28" i="6"/>
  <c r="L29" i="6" s="1"/>
  <c r="L30" i="6" s="1"/>
  <c r="L31" i="6" s="1"/>
  <c r="M28" i="6"/>
  <c r="M29" i="6" s="1"/>
  <c r="M30" i="6" s="1"/>
  <c r="M31" i="6" s="1"/>
  <c r="N28" i="6"/>
  <c r="N29" i="6" s="1"/>
  <c r="N30" i="6" s="1"/>
  <c r="N31" i="6" s="1"/>
  <c r="O28" i="6"/>
  <c r="Q28" i="6"/>
  <c r="Q29" i="6" s="1"/>
  <c r="Q30" i="6" s="1"/>
  <c r="Q31" i="6" s="1"/>
  <c r="R28" i="6"/>
  <c r="R29" i="6" s="1"/>
  <c r="R30" i="6" s="1"/>
  <c r="R31" i="6" s="1"/>
  <c r="S28" i="6"/>
  <c r="S29" i="6" s="1"/>
  <c r="S30" i="6" s="1"/>
  <c r="S31" i="6" s="1"/>
  <c r="T28" i="6"/>
  <c r="T29" i="6" s="1"/>
  <c r="T30" i="6" s="1"/>
  <c r="T31" i="6" s="1"/>
  <c r="U28" i="6"/>
  <c r="U29" i="6" s="1"/>
  <c r="U30" i="6" s="1"/>
  <c r="U31" i="6" s="1"/>
  <c r="V28" i="6"/>
  <c r="V29" i="6" s="1"/>
  <c r="V30" i="6" s="1"/>
  <c r="V31" i="6" s="1"/>
  <c r="W28" i="6"/>
  <c r="W29" i="6" s="1"/>
  <c r="W30" i="6" s="1"/>
  <c r="W31" i="6" s="1"/>
  <c r="P29" i="6"/>
  <c r="P30" i="6" s="1"/>
  <c r="P31" i="6" s="1"/>
  <c r="O30" i="6"/>
  <c r="O31" i="6" s="1"/>
  <c r="C23" i="6"/>
  <c r="C24" i="6" s="1"/>
  <c r="C25" i="6" s="1"/>
  <c r="C26" i="6" s="1"/>
  <c r="D23" i="6"/>
  <c r="D24" i="6" s="1"/>
  <c r="D25" i="6" s="1"/>
  <c r="D26" i="6" s="1"/>
  <c r="E23" i="6"/>
  <c r="E25" i="6" s="1"/>
  <c r="E26" i="6" s="1"/>
  <c r="F23" i="6"/>
  <c r="F24" i="6" s="1"/>
  <c r="F25" i="6" s="1"/>
  <c r="F26" i="6" s="1"/>
  <c r="G23" i="6"/>
  <c r="G24" i="6" s="1"/>
  <c r="G26" i="6" s="1"/>
  <c r="H23" i="6"/>
  <c r="H24" i="6" s="1"/>
  <c r="H25" i="6" s="1"/>
  <c r="H26" i="6" s="1"/>
  <c r="I23" i="6"/>
  <c r="I24" i="6" s="1"/>
  <c r="I25" i="6" s="1"/>
  <c r="I26" i="6" s="1"/>
  <c r="J23" i="6"/>
  <c r="J24" i="6" s="1"/>
  <c r="J25" i="6" s="1"/>
  <c r="J26" i="6" s="1"/>
  <c r="K23" i="6"/>
  <c r="K24" i="6" s="1"/>
  <c r="K25" i="6" s="1"/>
  <c r="K26" i="6" s="1"/>
  <c r="L23" i="6"/>
  <c r="M23" i="6"/>
  <c r="M24" i="6" s="1"/>
  <c r="M25" i="6" s="1"/>
  <c r="M26" i="6" s="1"/>
  <c r="N23" i="6"/>
  <c r="N25" i="6" s="1"/>
  <c r="N26" i="6" s="1"/>
  <c r="O23" i="6"/>
  <c r="O24" i="6" s="1"/>
  <c r="O25" i="6" s="1"/>
  <c r="O26" i="6" s="1"/>
  <c r="P23" i="6"/>
  <c r="P24" i="6" s="1"/>
  <c r="P25" i="6" s="1"/>
  <c r="P26" i="6" s="1"/>
  <c r="R23" i="6"/>
  <c r="R24" i="6" s="1"/>
  <c r="R25" i="6" s="1"/>
  <c r="R26" i="6" s="1"/>
  <c r="S23" i="6"/>
  <c r="S24" i="6" s="1"/>
  <c r="S25" i="6" s="1"/>
  <c r="S26" i="6" s="1"/>
  <c r="T23" i="6"/>
  <c r="T24" i="6" s="1"/>
  <c r="T25" i="6" s="1"/>
  <c r="T26" i="6" s="1"/>
  <c r="U23" i="6"/>
  <c r="U24" i="6" s="1"/>
  <c r="U25" i="6" s="1"/>
  <c r="U26" i="6" s="1"/>
  <c r="V24" i="6"/>
  <c r="V25" i="6" s="1"/>
  <c r="V26" i="6" s="1"/>
  <c r="W23" i="6"/>
  <c r="W24" i="6" s="1"/>
  <c r="Q24" i="6"/>
  <c r="Q25" i="6" s="1"/>
  <c r="Q26" i="6" s="1"/>
  <c r="B25" i="6"/>
  <c r="B26" i="6" s="1"/>
  <c r="L25" i="6"/>
  <c r="L26" i="6" s="1"/>
  <c r="W26" i="6"/>
  <c r="B18" i="6"/>
  <c r="B19" i="6" s="1"/>
  <c r="B20" i="6" s="1"/>
  <c r="B21" i="6" s="1"/>
  <c r="C18" i="6"/>
  <c r="C19" i="6" s="1"/>
  <c r="C20" i="6" s="1"/>
  <c r="C21" i="6" s="1"/>
  <c r="D18" i="6"/>
  <c r="D19" i="6" s="1"/>
  <c r="D20" i="6" s="1"/>
  <c r="D21" i="6" s="1"/>
  <c r="E18" i="6"/>
  <c r="E19" i="6" s="1"/>
  <c r="E20" i="6" s="1"/>
  <c r="E21" i="6" s="1"/>
  <c r="G18" i="6"/>
  <c r="G19" i="6" s="1"/>
  <c r="G20" i="6" s="1"/>
  <c r="G21" i="6" s="1"/>
  <c r="H18" i="6"/>
  <c r="H19" i="6" s="1"/>
  <c r="H21" i="6" s="1"/>
  <c r="I18" i="6"/>
  <c r="I19" i="6" s="1"/>
  <c r="I20" i="6" s="1"/>
  <c r="I21" i="6" s="1"/>
  <c r="J18" i="6"/>
  <c r="J19" i="6" s="1"/>
  <c r="J20" i="6" s="1"/>
  <c r="J21" i="6" s="1"/>
  <c r="K18" i="6"/>
  <c r="K19" i="6" s="1"/>
  <c r="K20" i="6" s="1"/>
  <c r="K21" i="6" s="1"/>
  <c r="L18" i="6"/>
  <c r="L19" i="6" s="1"/>
  <c r="L20" i="6" s="1"/>
  <c r="L21" i="6" s="1"/>
  <c r="M18" i="6"/>
  <c r="M19" i="6" s="1"/>
  <c r="M20" i="6" s="1"/>
  <c r="M21" i="6" s="1"/>
  <c r="N18" i="6"/>
  <c r="N19" i="6" s="1"/>
  <c r="N20" i="6" s="1"/>
  <c r="N21" i="6" s="1"/>
  <c r="O18" i="6"/>
  <c r="O19" i="6" s="1"/>
  <c r="O20" i="6" s="1"/>
  <c r="O21" i="6" s="1"/>
  <c r="P18" i="6"/>
  <c r="P19" i="6" s="1"/>
  <c r="P21" i="6" s="1"/>
  <c r="Q18" i="6"/>
  <c r="Q19" i="6" s="1"/>
  <c r="Q20" i="6" s="1"/>
  <c r="Q21" i="6" s="1"/>
  <c r="R19" i="6"/>
  <c r="R20" i="6" s="1"/>
  <c r="R21" i="6" s="1"/>
  <c r="S18" i="6"/>
  <c r="T18" i="6"/>
  <c r="T19" i="6" s="1"/>
  <c r="T20" i="6" s="1"/>
  <c r="T21" i="6" s="1"/>
  <c r="V18" i="6"/>
  <c r="V19" i="6" s="1"/>
  <c r="V20" i="6" s="1"/>
  <c r="V21" i="6" s="1"/>
  <c r="W18" i="6"/>
  <c r="W19" i="6" s="1"/>
  <c r="W20" i="6" s="1"/>
  <c r="W21" i="6" s="1"/>
  <c r="F19" i="6"/>
  <c r="F20" i="6" s="1"/>
  <c r="F21" i="6" s="1"/>
  <c r="S20" i="6"/>
  <c r="S21" i="6" s="1"/>
  <c r="U19" i="6"/>
  <c r="U20" i="6" s="1"/>
  <c r="U21" i="6" s="1"/>
  <c r="B13" i="6"/>
  <c r="B14" i="6" s="1"/>
  <c r="B15" i="6" s="1"/>
  <c r="B16" i="6" s="1"/>
  <c r="C13" i="6"/>
  <c r="C14" i="6" s="1"/>
  <c r="C15" i="6" s="1"/>
  <c r="C16" i="6" s="1"/>
  <c r="D13" i="6"/>
  <c r="D14" i="6" s="1"/>
  <c r="D15" i="6" s="1"/>
  <c r="D16" i="6" s="1"/>
  <c r="E13" i="6"/>
  <c r="E15" i="6" s="1"/>
  <c r="E16" i="6" s="1"/>
  <c r="F13" i="6"/>
  <c r="F14" i="6" s="1"/>
  <c r="F16" i="6" s="1"/>
  <c r="G13" i="6"/>
  <c r="G14" i="6" s="1"/>
  <c r="G15" i="6" s="1"/>
  <c r="G16" i="6" s="1"/>
  <c r="H13" i="6"/>
  <c r="H14" i="6" s="1"/>
  <c r="H15" i="6" s="1"/>
  <c r="H16" i="6" s="1"/>
  <c r="I13" i="6"/>
  <c r="I14" i="6" s="1"/>
  <c r="I15" i="6" s="1"/>
  <c r="I16" i="6" s="1"/>
  <c r="J13" i="6"/>
  <c r="J14" i="6" s="1"/>
  <c r="J16" i="6" s="1"/>
  <c r="K13" i="6"/>
  <c r="K14" i="6" s="1"/>
  <c r="K15" i="6" s="1"/>
  <c r="K16" i="6" s="1"/>
  <c r="L13" i="6"/>
  <c r="L14" i="6" s="1"/>
  <c r="L15" i="6" s="1"/>
  <c r="L16" i="6" s="1"/>
  <c r="M13" i="6"/>
  <c r="M14" i="6" s="1"/>
  <c r="M15" i="6" s="1"/>
  <c r="N13" i="6"/>
  <c r="N14" i="6" s="1"/>
  <c r="N16" i="6" s="1"/>
  <c r="O13" i="6"/>
  <c r="O14" i="6" s="1"/>
  <c r="O15" i="6" s="1"/>
  <c r="O16" i="6" s="1"/>
  <c r="P13" i="6"/>
  <c r="P14" i="6" s="1"/>
  <c r="P15" i="6" s="1"/>
  <c r="P16" i="6" s="1"/>
  <c r="Q13" i="6"/>
  <c r="R13" i="6"/>
  <c r="R14" i="6" s="1"/>
  <c r="R15" i="6" s="1"/>
  <c r="R16" i="6" s="1"/>
  <c r="S13" i="6"/>
  <c r="S14" i="6" s="1"/>
  <c r="S15" i="6" s="1"/>
  <c r="S16" i="6" s="1"/>
  <c r="T13" i="6"/>
  <c r="T14" i="6" s="1"/>
  <c r="T15" i="6" s="1"/>
  <c r="T16" i="6" s="1"/>
  <c r="U13" i="6"/>
  <c r="U14" i="6" s="1"/>
  <c r="U15" i="6" s="1"/>
  <c r="U16" i="6" s="1"/>
  <c r="V13" i="6"/>
  <c r="V14" i="6" s="1"/>
  <c r="V15" i="6" s="1"/>
  <c r="V16" i="6" s="1"/>
  <c r="W13" i="6"/>
  <c r="W14" i="6" s="1"/>
  <c r="W15" i="6" s="1"/>
  <c r="W16" i="6" s="1"/>
  <c r="Q16" i="6"/>
  <c r="B8" i="6"/>
  <c r="B9" i="6" s="1"/>
  <c r="B10" i="6" s="1"/>
  <c r="B11" i="6" s="1"/>
  <c r="C8" i="6"/>
  <c r="C9" i="6" s="1"/>
  <c r="C10" i="6" s="1"/>
  <c r="C11" i="6" s="1"/>
  <c r="D8" i="6"/>
  <c r="D9" i="6" s="1"/>
  <c r="D10" i="6" s="1"/>
  <c r="E8" i="6"/>
  <c r="E9" i="6" s="1"/>
  <c r="E10" i="6" s="1"/>
  <c r="E11" i="6" s="1"/>
  <c r="F8" i="6"/>
  <c r="F9" i="6" s="1"/>
  <c r="F11" i="6" s="1"/>
  <c r="G8" i="6"/>
  <c r="G9" i="6" s="1"/>
  <c r="G10" i="6" s="1"/>
  <c r="G11" i="6" s="1"/>
  <c r="H8" i="6"/>
  <c r="H9" i="6" s="1"/>
  <c r="H10" i="6" s="1"/>
  <c r="H11" i="6" s="1"/>
  <c r="I8" i="6"/>
  <c r="I9" i="6" s="1"/>
  <c r="I10" i="6" s="1"/>
  <c r="I11" i="6" s="1"/>
  <c r="J8" i="6"/>
  <c r="J9" i="6" s="1"/>
  <c r="J10" i="6" s="1"/>
  <c r="J11" i="6" s="1"/>
  <c r="K8" i="6"/>
  <c r="K9" i="6" s="1"/>
  <c r="K10" i="6" s="1"/>
  <c r="K11" i="6" s="1"/>
  <c r="L8" i="6"/>
  <c r="L9" i="6" s="1"/>
  <c r="L10" i="6" s="1"/>
  <c r="L11" i="6" s="1"/>
  <c r="M8" i="6"/>
  <c r="M9" i="6" s="1"/>
  <c r="N8" i="6"/>
  <c r="N9" i="6" s="1"/>
  <c r="N10" i="6" s="1"/>
  <c r="N11" i="6" s="1"/>
  <c r="O8" i="6"/>
  <c r="O9" i="6" s="1"/>
  <c r="O10" i="6" s="1"/>
  <c r="O11" i="6" s="1"/>
  <c r="P8" i="6"/>
  <c r="P9" i="6" s="1"/>
  <c r="Q8" i="6"/>
  <c r="Q9" i="6" s="1"/>
  <c r="Q10" i="6" s="1"/>
  <c r="Q11" i="6" s="1"/>
  <c r="S9" i="6"/>
  <c r="S10" i="6" s="1"/>
  <c r="S11" i="6" s="1"/>
  <c r="T8" i="6"/>
  <c r="T9" i="6" s="1"/>
  <c r="T10" i="6" s="1"/>
  <c r="T11" i="6" s="1"/>
  <c r="V8" i="6"/>
  <c r="V9" i="6" s="1"/>
  <c r="V10" i="6" s="1"/>
  <c r="V11" i="6" s="1"/>
  <c r="W8" i="6"/>
  <c r="W9" i="6" s="1"/>
  <c r="W11" i="6" s="1"/>
  <c r="R9" i="6"/>
  <c r="R10" i="6" s="1"/>
  <c r="R11" i="6" s="1"/>
  <c r="U9" i="6"/>
  <c r="U10" i="6" s="1"/>
  <c r="U11" i="6" s="1"/>
  <c r="M11" i="6"/>
  <c r="P11" i="6"/>
  <c r="B3" i="6"/>
  <c r="B4" i="6" s="1"/>
  <c r="B6" i="6" s="1"/>
  <c r="C3" i="6"/>
  <c r="C4" i="6" s="1"/>
  <c r="C5" i="6" s="1"/>
  <c r="C6" i="6" s="1"/>
  <c r="D3" i="6"/>
  <c r="D4" i="6" s="1"/>
  <c r="D6" i="6" s="1"/>
  <c r="E4" i="6"/>
  <c r="E5" i="6" s="1"/>
  <c r="E6" i="6" s="1"/>
  <c r="F3" i="6"/>
  <c r="F4" i="6" s="1"/>
  <c r="F6" i="6" s="1"/>
  <c r="G3" i="6"/>
  <c r="G4" i="6" s="1"/>
  <c r="G6" i="6" s="1"/>
  <c r="H3" i="6"/>
  <c r="H4" i="6" s="1"/>
  <c r="H5" i="6" s="1"/>
  <c r="H6" i="6" s="1"/>
  <c r="I3" i="6"/>
  <c r="I4" i="6" s="1"/>
  <c r="I5" i="6" s="1"/>
  <c r="I6" i="6" s="1"/>
  <c r="J3" i="6"/>
  <c r="J4" i="6" s="1"/>
  <c r="J5" i="6" s="1"/>
  <c r="J6" i="6" s="1"/>
  <c r="K3" i="6"/>
  <c r="K4" i="6" s="1"/>
  <c r="K5" i="6" s="1"/>
  <c r="K6" i="6" s="1"/>
  <c r="L3" i="6"/>
  <c r="L4" i="6" s="1"/>
  <c r="L5" i="6" s="1"/>
  <c r="L6" i="6" s="1"/>
  <c r="M3" i="6"/>
  <c r="M4" i="6" s="1"/>
  <c r="M5" i="6" s="1"/>
  <c r="M6" i="6" s="1"/>
  <c r="N3" i="6"/>
  <c r="N5" i="6" s="1"/>
  <c r="N6" i="6" s="1"/>
  <c r="O3" i="6"/>
  <c r="O4" i="6" s="1"/>
  <c r="O5" i="6" s="1"/>
  <c r="O6" i="6" s="1"/>
  <c r="P3" i="6"/>
  <c r="P4" i="6" s="1"/>
  <c r="P5" i="6" s="1"/>
  <c r="P6" i="6" s="1"/>
  <c r="Q3" i="6"/>
  <c r="Q4" i="6" s="1"/>
  <c r="Q5" i="6" s="1"/>
  <c r="Q6" i="6" s="1"/>
  <c r="R4" i="6"/>
  <c r="R5" i="6" s="1"/>
  <c r="R6" i="6" s="1"/>
  <c r="S3" i="6"/>
  <c r="T3" i="6"/>
  <c r="T4" i="6" s="1"/>
  <c r="T5" i="6" s="1"/>
  <c r="T6" i="6" s="1"/>
  <c r="V4" i="6"/>
  <c r="V5" i="6" s="1"/>
  <c r="V6" i="6" s="1"/>
  <c r="W3" i="6"/>
  <c r="W4" i="6" s="1"/>
  <c r="W6" i="6" s="1"/>
  <c r="S5" i="6"/>
  <c r="S6" i="6" s="1"/>
  <c r="U4" i="6"/>
  <c r="U5" i="6" s="1"/>
  <c r="U6" i="6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sharedStrings.xml><?xml version="1.0" encoding="utf-8"?>
<sst xmlns="http://schemas.openxmlformats.org/spreadsheetml/2006/main" count="1496" uniqueCount="237">
  <si>
    <t>EC</t>
  </si>
  <si>
    <t>FE</t>
  </si>
  <si>
    <t>CP</t>
  </si>
  <si>
    <t>SomPhg</t>
  </si>
  <si>
    <t>HMBactPhg</t>
  </si>
  <si>
    <t>CWBactPhg</t>
  </si>
  <si>
    <t>PGBactPhg</t>
  </si>
  <si>
    <t>PLBactPhg</t>
  </si>
  <si>
    <t>BifSorb</t>
  </si>
  <si>
    <t>BifTot</t>
  </si>
  <si>
    <t>HMBif</t>
  </si>
  <si>
    <t>CWBif</t>
  </si>
  <si>
    <t>PGNeo</t>
  </si>
  <si>
    <t>PLBif</t>
  </si>
  <si>
    <t>TLBif</t>
  </si>
  <si>
    <t>BacR</t>
  </si>
  <si>
    <t>Pig2Bac</t>
  </si>
  <si>
    <t>AllBac</t>
  </si>
  <si>
    <t>HF183TaqMan</t>
  </si>
  <si>
    <t>FEqPCR</t>
  </si>
  <si>
    <t>HMMit</t>
  </si>
  <si>
    <t>CWMit</t>
  </si>
  <si>
    <t>PGMit</t>
  </si>
  <si>
    <t>PLMit</t>
  </si>
  <si>
    <t>Acesulfame</t>
  </si>
  <si>
    <t>Cyclamate</t>
  </si>
  <si>
    <t xml:space="preserve">Saccharain </t>
  </si>
  <si>
    <t>Sucralose</t>
  </si>
  <si>
    <t>Adeno</t>
  </si>
  <si>
    <t>NoV</t>
  </si>
  <si>
    <t>E01CW_F</t>
  </si>
  <si>
    <t>E02PG_F</t>
  </si>
  <si>
    <t>E03PG_F</t>
  </si>
  <si>
    <t>E04HM_F</t>
  </si>
  <si>
    <t>E05PL_F</t>
  </si>
  <si>
    <t>E06PL_F</t>
  </si>
  <si>
    <t>E07HM_W</t>
  </si>
  <si>
    <t>E08HM_W</t>
  </si>
  <si>
    <t>E09PG_W</t>
  </si>
  <si>
    <t>E10PG_W</t>
  </si>
  <si>
    <t>E11PG_W</t>
  </si>
  <si>
    <t>E12CW_W</t>
  </si>
  <si>
    <t>E13HM_P</t>
  </si>
  <si>
    <t>E14HM_P</t>
  </si>
  <si>
    <t>E15CW_P</t>
  </si>
  <si>
    <t>E16PG_P</t>
  </si>
  <si>
    <t>E17PL_P</t>
  </si>
  <si>
    <t>E18PL_P</t>
  </si>
  <si>
    <t>E19PG_P</t>
  </si>
  <si>
    <t>E20CW_P</t>
  </si>
  <si>
    <t>E21PL_S</t>
  </si>
  <si>
    <t>E22PL_S</t>
  </si>
  <si>
    <t>E23HM_S</t>
  </si>
  <si>
    <t>E24CW_S</t>
  </si>
  <si>
    <t>E25PG_S</t>
  </si>
  <si>
    <t>E26PG_S</t>
  </si>
  <si>
    <t>E27HM</t>
  </si>
  <si>
    <t>E28HM</t>
  </si>
  <si>
    <t>A01HM-F</t>
  </si>
  <si>
    <t>A02HM_F</t>
  </si>
  <si>
    <t>A03CW_F</t>
  </si>
  <si>
    <t>A04PG_F</t>
  </si>
  <si>
    <t>A05PL_F</t>
  </si>
  <si>
    <t>A07HM_W</t>
  </si>
  <si>
    <t>A08HM_W</t>
  </si>
  <si>
    <t>A09CW_W</t>
  </si>
  <si>
    <t>A10PG_W</t>
  </si>
  <si>
    <t>A11PL_W</t>
  </si>
  <si>
    <t>A13HM_P</t>
  </si>
  <si>
    <t>A14HM_P</t>
  </si>
  <si>
    <t>A15HO_P</t>
  </si>
  <si>
    <t>A16CW_P</t>
  </si>
  <si>
    <t>A19PG_P</t>
  </si>
  <si>
    <t>A20HM-S</t>
  </si>
  <si>
    <t>A21HM-S</t>
  </si>
  <si>
    <t>A22CW-S</t>
  </si>
  <si>
    <t>A23PG-S</t>
  </si>
  <si>
    <t>A24HO-S</t>
  </si>
  <si>
    <t>P01HM_F</t>
  </si>
  <si>
    <t>P02PG_F</t>
  </si>
  <si>
    <t>P03CW_F</t>
  </si>
  <si>
    <t>P04PL_F</t>
  </si>
  <si>
    <t>P05HM-W</t>
  </si>
  <si>
    <t>P06PG-W</t>
  </si>
  <si>
    <t>P07CW-W</t>
  </si>
  <si>
    <t>P08PL-W</t>
  </si>
  <si>
    <t>P09HM_P</t>
  </si>
  <si>
    <t>P10PL_P</t>
  </si>
  <si>
    <t>P11PG_P</t>
  </si>
  <si>
    <t>P12CW_P</t>
  </si>
  <si>
    <t>P13HM-SP</t>
  </si>
  <si>
    <t>P14HM-SP</t>
  </si>
  <si>
    <t>P15CW-SP</t>
  </si>
  <si>
    <t>P16CW-SP</t>
  </si>
  <si>
    <t>P17PG-SP</t>
  </si>
  <si>
    <t>P18PG-SP</t>
  </si>
  <si>
    <t>P19PL-SP</t>
  </si>
  <si>
    <t>P20PL-SP</t>
  </si>
  <si>
    <t>P21HM</t>
  </si>
  <si>
    <t>P22HM</t>
  </si>
  <si>
    <t>P23PL</t>
  </si>
  <si>
    <t>D01HM_F</t>
  </si>
  <si>
    <t>D02PG_F</t>
  </si>
  <si>
    <t>D03CW_F</t>
  </si>
  <si>
    <t>D04PL_F</t>
  </si>
  <si>
    <t>D05HO_F</t>
  </si>
  <si>
    <t>D06HM_W</t>
  </si>
  <si>
    <t>D07PG_W</t>
  </si>
  <si>
    <t>D08CW_W</t>
  </si>
  <si>
    <t>D09PL_W</t>
  </si>
  <si>
    <t>D10HO_W</t>
  </si>
  <si>
    <t>D11HM_P</t>
  </si>
  <si>
    <t>D12CW_P</t>
  </si>
  <si>
    <t>D13PL_P</t>
  </si>
  <si>
    <t>D14HO_P</t>
  </si>
  <si>
    <t>D15HM_S</t>
  </si>
  <si>
    <t>D16PG_S</t>
  </si>
  <si>
    <t>D17CW_S</t>
  </si>
  <si>
    <t>D18PL_S</t>
  </si>
  <si>
    <t>D19HO_S</t>
  </si>
  <si>
    <t>D20HM_S</t>
  </si>
  <si>
    <t>D21PG_S</t>
  </si>
  <si>
    <t>D22CW_S</t>
  </si>
  <si>
    <t>D23PL_S</t>
  </si>
  <si>
    <t>D24HO_S</t>
  </si>
  <si>
    <t>F01HM_F</t>
  </si>
  <si>
    <t>F02PG_F</t>
  </si>
  <si>
    <t>F03CW_F</t>
  </si>
  <si>
    <t>F04PL_F</t>
  </si>
  <si>
    <t>F05HM_W</t>
  </si>
  <si>
    <t>F06HM_W</t>
  </si>
  <si>
    <t>F07PG_W</t>
  </si>
  <si>
    <t>F08CW_W</t>
  </si>
  <si>
    <t>F09PL_W</t>
  </si>
  <si>
    <t>F10HM-P</t>
  </si>
  <si>
    <t>F11HM-P</t>
  </si>
  <si>
    <t>F12CW-P</t>
  </si>
  <si>
    <t>F13PL-P</t>
  </si>
  <si>
    <t>F14HM_S</t>
  </si>
  <si>
    <t>F15HM_S</t>
  </si>
  <si>
    <t>F16PL_S</t>
  </si>
  <si>
    <t>F17CW_S</t>
  </si>
  <si>
    <t>F18PL_S</t>
  </si>
  <si>
    <t>Class</t>
  </si>
  <si>
    <t>Bovine</t>
  </si>
  <si>
    <t>Porcine</t>
  </si>
  <si>
    <t>Human</t>
  </si>
  <si>
    <t>Poultry</t>
  </si>
  <si>
    <t>Equine</t>
  </si>
  <si>
    <t>ID</t>
  </si>
  <si>
    <t>Class_binary</t>
  </si>
  <si>
    <t>Non_Human</t>
  </si>
  <si>
    <t>ID_n</t>
  </si>
  <si>
    <t>Random selection</t>
  </si>
  <si>
    <t>Selected</t>
  </si>
  <si>
    <t>E04HM_F_0.1</t>
  </si>
  <si>
    <t>E04HM_F_0.01</t>
  </si>
  <si>
    <t>E04HM_F_0.001</t>
  </si>
  <si>
    <t>E04HM_F_0.0001</t>
  </si>
  <si>
    <t>E10PG_W_0.1</t>
  </si>
  <si>
    <t>E10PG_W_0.01</t>
  </si>
  <si>
    <t>E10PG_W_0.001</t>
  </si>
  <si>
    <t>E10PG_W_0.0001</t>
  </si>
  <si>
    <t>E22PL_S_0.1</t>
  </si>
  <si>
    <t>E22PL_S_0.01</t>
  </si>
  <si>
    <t>E22PL_S_0.001</t>
  </si>
  <si>
    <t>E22PL_S_0.0001</t>
  </si>
  <si>
    <t>A04PG_F_0.1</t>
  </si>
  <si>
    <t>A04PG_F_0.01</t>
  </si>
  <si>
    <t>A04PG_F_0.001</t>
  </si>
  <si>
    <t>A04PG_F_0.0001</t>
  </si>
  <si>
    <t>A08HM_W_0.1</t>
  </si>
  <si>
    <t>A08HM_W_0.01</t>
  </si>
  <si>
    <t>A08HM_W_0.001</t>
  </si>
  <si>
    <t>A08HM_W_0.0001</t>
  </si>
  <si>
    <t>P22HM_0.1</t>
  </si>
  <si>
    <t>P22HM_0.01</t>
  </si>
  <si>
    <t>P22HM_0.001</t>
  </si>
  <si>
    <t>P22HM_0.0001</t>
  </si>
  <si>
    <t>D01HM_F_0.1</t>
  </si>
  <si>
    <t>D01HM_F_0.01</t>
  </si>
  <si>
    <t>D01HM_F_0.001</t>
  </si>
  <si>
    <t>D01HM_F_0.0001</t>
  </si>
  <si>
    <t>F06HM_W_0.1</t>
  </si>
  <si>
    <t>F06HM_W_0.01</t>
  </si>
  <si>
    <t>F06HM_W_0.001</t>
  </si>
  <si>
    <t>F06HM_W_0.0001</t>
  </si>
  <si>
    <t>F07PG_W_0.01</t>
  </si>
  <si>
    <t>F07PG_W_0.001</t>
  </si>
  <si>
    <t>F07PG_W_0.1</t>
  </si>
  <si>
    <t>F07PG_W_0.0001</t>
  </si>
  <si>
    <t>F15HM_S_0.1</t>
  </si>
  <si>
    <t>F15HM_S_0.01</t>
  </si>
  <si>
    <t>F15HM_S_0.001</t>
  </si>
  <si>
    <t>F15HM_S_0.0001</t>
  </si>
  <si>
    <t>A22CW_S</t>
  </si>
  <si>
    <t>A22CW_S_0.1</t>
  </si>
  <si>
    <t>A22CW_S_0.01</t>
  </si>
  <si>
    <t>A22CW_S_0.001</t>
  </si>
  <si>
    <t>A22CW_S_0.0001</t>
  </si>
  <si>
    <t>P06PG_W</t>
  </si>
  <si>
    <t>P06PG_W_0.1</t>
  </si>
  <si>
    <t>P06PG_W_0.01</t>
  </si>
  <si>
    <t>P06PG_W_0.001</t>
  </si>
  <si>
    <t>P06PG_W_0.0001</t>
  </si>
  <si>
    <t>P16CW_SP</t>
  </si>
  <si>
    <t>P16CW_SP_0.1</t>
  </si>
  <si>
    <t>P16CW_SP_0.01</t>
  </si>
  <si>
    <t>P16CW_SP_0.001</t>
  </si>
  <si>
    <t>P16CW_SP_0.0001</t>
  </si>
  <si>
    <t>P19PL_SP</t>
  </si>
  <si>
    <t>P19PL_SP_0.1</t>
  </si>
  <si>
    <t>P19PL_SP_0.01</t>
  </si>
  <si>
    <t>P19PL_SP_0.001</t>
  </si>
  <si>
    <t>P19PL_SP_0.0001</t>
  </si>
  <si>
    <t>F11HM_P</t>
  </si>
  <si>
    <t>F11HM_P_0.1</t>
  </si>
  <si>
    <t>F11HM_P_0.01</t>
  </si>
  <si>
    <t>F11HM_P_0.001</t>
  </si>
  <si>
    <t>F11HM_P_0.0001</t>
  </si>
  <si>
    <t>A01HM_F</t>
  </si>
  <si>
    <t>A20HM_S</t>
  </si>
  <si>
    <t>A21HM_S</t>
  </si>
  <si>
    <t>A23PG_S</t>
  </si>
  <si>
    <t>A24HO_S</t>
  </si>
  <si>
    <t>P05HM_W</t>
  </si>
  <si>
    <t>P07CW_W</t>
  </si>
  <si>
    <t>P08PL_W</t>
  </si>
  <si>
    <t>P13HM_SP</t>
  </si>
  <si>
    <t>P14HM_SP</t>
  </si>
  <si>
    <t>P15CW_SP</t>
  </si>
  <si>
    <t>P17PG_SP</t>
  </si>
  <si>
    <t>P18PG_SP</t>
  </si>
  <si>
    <t>P20PL_SP</t>
  </si>
  <si>
    <t>F10HM_P</t>
  </si>
  <si>
    <t>F12CW_P</t>
  </si>
  <si>
    <t>F13PL_P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</si>
</sst>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4723-DF4E-4195-8D5D-0A8009C80B9F}">
  <dimension ref="A1:AH114"/>
  <sheetViews>
    <sheetView topLeftCell="A91" workbookViewId="0">
      <selection activeCell="C2" sqref="C2"/>
    </sheetView>
  </sheetViews>
  <sheetFormatPr baseColWidth="10" defaultRowHeight="14.4" x14ac:dyDescent="0.3"/>
  <cols>
    <col min="1" max="2" width="11.5546875" style="5"/>
    <col min="3" max="4" width="11.5546875" style="6"/>
    <col min="5" max="6" width="13.44140625" style="7" bestFit="1" customWidth="1"/>
    <col min="7" max="7" width="15.44140625" style="7" bestFit="1" customWidth="1"/>
    <col min="8" max="8" width="11.6640625" style="7" bestFit="1" customWidth="1"/>
    <col min="9" max="9" width="13.44140625" style="7" bestFit="1" customWidth="1"/>
    <col min="10" max="13" width="11.6640625" style="7" bestFit="1" customWidth="1"/>
    <col min="14" max="14" width="13.44140625" style="7" bestFit="1" customWidth="1"/>
    <col min="15" max="15" width="14.44140625" style="7" bestFit="1" customWidth="1"/>
    <col min="16" max="17" width="12.44140625" style="7" bestFit="1" customWidth="1"/>
    <col min="18" max="18" width="11.6640625" style="7" bestFit="1" customWidth="1"/>
    <col min="19" max="19" width="12.44140625" style="7" bestFit="1" customWidth="1"/>
    <col min="20" max="20" width="14.44140625" style="7" bestFit="1" customWidth="1"/>
    <col min="21" max="22" width="15.44140625" style="7" bestFit="1" customWidth="1"/>
    <col min="23" max="23" width="16.5546875" style="7" bestFit="1" customWidth="1"/>
    <col min="24" max="25" width="12.44140625" style="7" bestFit="1" customWidth="1"/>
    <col min="26" max="28" width="13.44140625" style="7" bestFit="1" customWidth="1"/>
    <col min="29" max="34" width="11.6640625" style="7" bestFit="1" customWidth="1"/>
    <col min="35" max="16384" width="11.5546875" style="5"/>
  </cols>
  <sheetData>
    <row r="1" spans="1:34" x14ac:dyDescent="0.3">
      <c r="A1" s="5" t="s">
        <v>152</v>
      </c>
      <c r="B1" s="5" t="s">
        <v>149</v>
      </c>
      <c r="C1" s="6" t="s">
        <v>143</v>
      </c>
      <c r="D1" s="6" t="s">
        <v>150</v>
      </c>
      <c r="E1" s="7" t="s">
        <v>0</v>
      </c>
      <c r="F1" s="7" t="s">
        <v>1</v>
      </c>
      <c r="G1" s="7" t="s">
        <v>19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</row>
    <row r="2" spans="1:34" x14ac:dyDescent="0.3">
      <c r="A2" s="5">
        <v>1</v>
      </c>
      <c r="B2" s="5" t="s">
        <v>30</v>
      </c>
      <c r="C2" s="6" t="s">
        <v>144</v>
      </c>
      <c r="D2" s="6" t="s">
        <v>151</v>
      </c>
      <c r="E2" s="7">
        <v>5430000</v>
      </c>
      <c r="F2" s="7">
        <v>210000</v>
      </c>
      <c r="G2" s="7">
        <v>104713384.2549808</v>
      </c>
      <c r="H2" s="7">
        <v>800</v>
      </c>
      <c r="I2" s="7">
        <v>266000</v>
      </c>
      <c r="J2" s="7">
        <v>0</v>
      </c>
      <c r="K2" s="7">
        <v>50</v>
      </c>
      <c r="L2" s="7">
        <v>0</v>
      </c>
      <c r="M2" s="7">
        <v>0</v>
      </c>
      <c r="N2" s="7">
        <v>0</v>
      </c>
      <c r="O2" s="7">
        <v>840000</v>
      </c>
      <c r="P2" s="7">
        <v>0</v>
      </c>
      <c r="Q2" s="7">
        <v>0</v>
      </c>
      <c r="R2" s="7">
        <v>0</v>
      </c>
      <c r="S2" s="7">
        <v>0</v>
      </c>
      <c r="T2" s="7">
        <v>46399356.767162897</v>
      </c>
      <c r="U2" s="7">
        <v>58252.745858028007</v>
      </c>
      <c r="V2" s="7">
        <v>7509034.0044509051</v>
      </c>
      <c r="W2" s="7">
        <v>779069426.09932685</v>
      </c>
      <c r="X2" s="7">
        <v>221051.25436423111</v>
      </c>
      <c r="Y2" s="7">
        <v>524000</v>
      </c>
      <c r="Z2" s="7">
        <v>16700000</v>
      </c>
      <c r="AA2" s="7">
        <v>0</v>
      </c>
      <c r="AB2" s="7">
        <v>0</v>
      </c>
      <c r="AC2" s="7">
        <v>100</v>
      </c>
      <c r="AD2" s="7">
        <v>480</v>
      </c>
      <c r="AE2" s="7">
        <v>0</v>
      </c>
      <c r="AF2" s="7">
        <v>0</v>
      </c>
      <c r="AG2" s="7">
        <v>0</v>
      </c>
      <c r="AH2" s="7">
        <v>0</v>
      </c>
    </row>
    <row r="3" spans="1:34" x14ac:dyDescent="0.3">
      <c r="A3" s="5">
        <v>2</v>
      </c>
      <c r="B3" s="5" t="s">
        <v>31</v>
      </c>
      <c r="C3" s="6" t="s">
        <v>145</v>
      </c>
      <c r="D3" s="6" t="s">
        <v>151</v>
      </c>
      <c r="E3" s="7">
        <v>31700000</v>
      </c>
      <c r="F3" s="7">
        <v>27000</v>
      </c>
      <c r="G3" s="7">
        <v>122869900.71993595</v>
      </c>
      <c r="H3" s="7">
        <v>34000</v>
      </c>
      <c r="I3" s="7">
        <v>2050000</v>
      </c>
      <c r="J3" s="7">
        <v>0</v>
      </c>
      <c r="K3" s="7">
        <v>0</v>
      </c>
      <c r="L3" s="7">
        <v>3250</v>
      </c>
      <c r="M3" s="7">
        <v>0</v>
      </c>
      <c r="N3" s="7">
        <v>0</v>
      </c>
      <c r="O3" s="7">
        <v>1856818.1818181816</v>
      </c>
      <c r="P3" s="7">
        <v>0</v>
      </c>
      <c r="Q3" s="7">
        <v>0</v>
      </c>
      <c r="R3" s="7">
        <v>0</v>
      </c>
      <c r="S3" s="7">
        <v>0</v>
      </c>
      <c r="T3" s="7">
        <v>34921425.226402603</v>
      </c>
      <c r="U3" s="7">
        <v>0</v>
      </c>
      <c r="V3" s="7">
        <v>4866153579.3123178</v>
      </c>
      <c r="W3" s="7">
        <v>3199791383.1611419</v>
      </c>
      <c r="X3" s="7">
        <v>176521.14157618629</v>
      </c>
      <c r="Y3" s="7">
        <v>175000</v>
      </c>
      <c r="Z3" s="7">
        <v>0</v>
      </c>
      <c r="AA3" s="7">
        <v>404000000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24000</v>
      </c>
    </row>
    <row r="4" spans="1:34" x14ac:dyDescent="0.3">
      <c r="A4" s="5">
        <v>3</v>
      </c>
      <c r="B4" s="5" t="s">
        <v>32</v>
      </c>
      <c r="C4" s="6" t="s">
        <v>145</v>
      </c>
      <c r="D4" s="6" t="s">
        <v>151</v>
      </c>
      <c r="E4" s="7">
        <v>35400000</v>
      </c>
      <c r="F4" s="7">
        <v>23400</v>
      </c>
      <c r="G4" s="7">
        <v>489602326.64795661</v>
      </c>
      <c r="H4" s="7">
        <v>17300</v>
      </c>
      <c r="I4" s="7">
        <v>32500000</v>
      </c>
      <c r="J4" s="7">
        <v>0</v>
      </c>
      <c r="K4" s="7">
        <v>0</v>
      </c>
      <c r="L4" s="7">
        <v>33650</v>
      </c>
      <c r="M4" s="7">
        <v>0</v>
      </c>
      <c r="N4" s="7">
        <v>0</v>
      </c>
      <c r="O4" s="7">
        <v>1772727.2727272727</v>
      </c>
      <c r="P4" s="7">
        <v>0</v>
      </c>
      <c r="Q4" s="7">
        <v>0</v>
      </c>
      <c r="R4" s="7">
        <v>0</v>
      </c>
      <c r="S4" s="7">
        <v>0</v>
      </c>
      <c r="T4" s="7">
        <v>14887849.1601665</v>
      </c>
      <c r="U4" s="7">
        <v>0</v>
      </c>
      <c r="V4" s="7">
        <v>1768057968.4049728</v>
      </c>
      <c r="W4" s="7">
        <v>3476284847.6026893</v>
      </c>
      <c r="X4" s="7">
        <v>1294.4793547986774</v>
      </c>
      <c r="Y4" s="7">
        <v>82600</v>
      </c>
      <c r="Z4" s="7">
        <v>0</v>
      </c>
      <c r="AA4" s="7">
        <v>116000000</v>
      </c>
      <c r="AB4" s="7">
        <v>0</v>
      </c>
      <c r="AC4" s="7">
        <v>0</v>
      </c>
      <c r="AD4" s="7">
        <v>0</v>
      </c>
      <c r="AE4" s="7">
        <v>0</v>
      </c>
      <c r="AF4" s="7">
        <v>330</v>
      </c>
      <c r="AG4" s="7">
        <v>0</v>
      </c>
      <c r="AH4" s="7">
        <v>164000</v>
      </c>
    </row>
    <row r="5" spans="1:34" x14ac:dyDescent="0.3">
      <c r="A5" s="5">
        <v>4</v>
      </c>
      <c r="B5" s="5" t="s">
        <v>33</v>
      </c>
      <c r="C5" s="6" t="s">
        <v>146</v>
      </c>
      <c r="D5" s="6" t="s">
        <v>146</v>
      </c>
      <c r="E5" s="7">
        <v>1430000</v>
      </c>
      <c r="F5" s="7">
        <v>78600</v>
      </c>
      <c r="G5" s="7">
        <v>714196906.6949867</v>
      </c>
      <c r="H5" s="7">
        <v>26800</v>
      </c>
      <c r="I5" s="7">
        <v>200000</v>
      </c>
      <c r="J5" s="7">
        <v>1154.5454545454545</v>
      </c>
      <c r="K5" s="7">
        <v>0</v>
      </c>
      <c r="L5" s="7">
        <v>1300</v>
      </c>
      <c r="M5" s="7">
        <v>30</v>
      </c>
      <c r="N5" s="7">
        <v>10000</v>
      </c>
      <c r="O5" s="7">
        <v>175000</v>
      </c>
      <c r="P5" s="7">
        <v>30100000</v>
      </c>
      <c r="Q5" s="7">
        <v>0</v>
      </c>
      <c r="R5" s="7">
        <v>0</v>
      </c>
      <c r="S5" s="7">
        <v>0</v>
      </c>
      <c r="T5" s="7">
        <v>57052142.724053502</v>
      </c>
      <c r="U5" s="7">
        <v>0</v>
      </c>
      <c r="V5" s="7">
        <v>0</v>
      </c>
      <c r="W5" s="7">
        <v>7299421454.370163</v>
      </c>
      <c r="X5" s="7">
        <v>5974482.5459294254</v>
      </c>
      <c r="Y5" s="7">
        <v>183000</v>
      </c>
      <c r="Z5" s="7">
        <v>0</v>
      </c>
      <c r="AA5" s="7">
        <v>0</v>
      </c>
      <c r="AB5" s="7">
        <v>0</v>
      </c>
      <c r="AC5" s="7">
        <v>390</v>
      </c>
      <c r="AD5" s="7">
        <v>1240</v>
      </c>
      <c r="AE5" s="7">
        <v>0</v>
      </c>
      <c r="AF5" s="7">
        <v>430</v>
      </c>
      <c r="AG5" s="7">
        <v>130000</v>
      </c>
      <c r="AH5" s="7">
        <v>91200</v>
      </c>
    </row>
    <row r="6" spans="1:34" x14ac:dyDescent="0.3">
      <c r="A6" s="5">
        <v>5</v>
      </c>
      <c r="B6" s="5" t="s">
        <v>34</v>
      </c>
      <c r="C6" s="6" t="s">
        <v>147</v>
      </c>
      <c r="D6" s="6" t="s">
        <v>151</v>
      </c>
      <c r="E6" s="7">
        <v>26900000</v>
      </c>
      <c r="F6" s="7">
        <v>258000</v>
      </c>
      <c r="G6" s="7">
        <v>593500121.94803369</v>
      </c>
      <c r="H6" s="7">
        <v>3230</v>
      </c>
      <c r="I6" s="7">
        <v>1620000</v>
      </c>
      <c r="J6" s="7">
        <v>0</v>
      </c>
      <c r="K6" s="7">
        <v>0</v>
      </c>
      <c r="L6" s="7">
        <v>0</v>
      </c>
      <c r="M6" s="7">
        <v>171.42857142857142</v>
      </c>
      <c r="N6" s="7">
        <v>0</v>
      </c>
      <c r="O6" s="7">
        <v>982500</v>
      </c>
      <c r="P6" s="7">
        <v>0</v>
      </c>
      <c r="Q6" s="7">
        <v>0</v>
      </c>
      <c r="R6" s="7">
        <v>0</v>
      </c>
      <c r="S6" s="7">
        <v>3762004.4892194574</v>
      </c>
      <c r="T6" s="7">
        <v>326303671.18487501</v>
      </c>
      <c r="U6" s="7">
        <v>0</v>
      </c>
      <c r="V6" s="7">
        <v>0</v>
      </c>
      <c r="W6" s="7">
        <v>7406617217.7575359</v>
      </c>
      <c r="X6" s="7">
        <v>720867.44386179617</v>
      </c>
      <c r="Y6" s="7">
        <v>0</v>
      </c>
      <c r="Z6" s="7">
        <v>0</v>
      </c>
      <c r="AA6" s="7">
        <v>0</v>
      </c>
      <c r="AB6" s="7">
        <v>765000000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</row>
    <row r="7" spans="1:34" x14ac:dyDescent="0.3">
      <c r="A7" s="5">
        <v>6</v>
      </c>
      <c r="B7" s="5" t="s">
        <v>35</v>
      </c>
      <c r="C7" s="6" t="s">
        <v>147</v>
      </c>
      <c r="D7" s="6" t="s">
        <v>151</v>
      </c>
      <c r="E7" s="7">
        <v>1220000</v>
      </c>
      <c r="F7" s="7">
        <v>25800</v>
      </c>
      <c r="G7" s="7">
        <v>83422664.363256574</v>
      </c>
      <c r="H7" s="7">
        <v>8770</v>
      </c>
      <c r="I7" s="7">
        <v>237000</v>
      </c>
      <c r="J7" s="7">
        <v>0</v>
      </c>
      <c r="K7" s="7">
        <v>0</v>
      </c>
      <c r="L7" s="7">
        <v>20</v>
      </c>
      <c r="M7" s="7">
        <v>345.45454545454538</v>
      </c>
      <c r="N7" s="7">
        <v>6500</v>
      </c>
      <c r="O7" s="7">
        <v>194545.45454545456</v>
      </c>
      <c r="P7" s="7">
        <v>0</v>
      </c>
      <c r="Q7" s="7">
        <v>0</v>
      </c>
      <c r="R7" s="7">
        <v>0</v>
      </c>
      <c r="S7" s="7">
        <v>9736136.3331725467</v>
      </c>
      <c r="T7" s="7">
        <v>113136296.99875399</v>
      </c>
      <c r="U7" s="7">
        <v>0</v>
      </c>
      <c r="V7" s="7">
        <v>0</v>
      </c>
      <c r="W7" s="7">
        <v>18489962604.548374</v>
      </c>
      <c r="X7" s="7">
        <v>871415.76392626727</v>
      </c>
      <c r="Y7" s="7">
        <v>0</v>
      </c>
      <c r="Z7" s="7">
        <v>0</v>
      </c>
      <c r="AA7" s="7">
        <v>0</v>
      </c>
      <c r="AB7" s="7">
        <v>217000000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</row>
    <row r="8" spans="1:34" x14ac:dyDescent="0.3">
      <c r="A8" s="5">
        <v>7</v>
      </c>
      <c r="B8" s="5" t="s">
        <v>36</v>
      </c>
      <c r="C8" s="6" t="s">
        <v>146</v>
      </c>
      <c r="D8" s="6" t="s">
        <v>146</v>
      </c>
      <c r="E8" s="7">
        <v>459090</v>
      </c>
      <c r="F8" s="7">
        <v>31000</v>
      </c>
      <c r="G8" s="7">
        <v>176287424.81549048</v>
      </c>
      <c r="H8" s="7">
        <v>38636</v>
      </c>
      <c r="I8" s="7">
        <v>257207</v>
      </c>
      <c r="J8" s="7">
        <v>4900</v>
      </c>
      <c r="K8" s="7">
        <v>5</v>
      </c>
      <c r="L8" s="7">
        <v>210</v>
      </c>
      <c r="M8" s="7">
        <v>5</v>
      </c>
      <c r="N8" s="7">
        <v>5000.0000000000009</v>
      </c>
      <c r="O8" s="7">
        <v>70909.090909090912</v>
      </c>
      <c r="P8" s="7">
        <v>0</v>
      </c>
      <c r="Q8" s="7">
        <v>0</v>
      </c>
      <c r="R8" s="7">
        <v>0</v>
      </c>
      <c r="S8" s="7">
        <v>0</v>
      </c>
      <c r="T8" s="7">
        <v>102689717.70646071</v>
      </c>
      <c r="U8" s="7">
        <v>0</v>
      </c>
      <c r="V8" s="7">
        <v>1428.84568795934</v>
      </c>
      <c r="W8" s="7">
        <v>1927906005.9217143</v>
      </c>
      <c r="X8" s="7">
        <v>7612594.4718120694</v>
      </c>
      <c r="Y8" s="7">
        <v>75000</v>
      </c>
      <c r="Z8" s="7">
        <v>0</v>
      </c>
      <c r="AA8" s="7">
        <v>0</v>
      </c>
      <c r="AB8" s="7">
        <v>0</v>
      </c>
      <c r="AC8" s="7">
        <v>304</v>
      </c>
      <c r="AD8" s="7">
        <v>509</v>
      </c>
      <c r="AE8" s="7">
        <v>116</v>
      </c>
      <c r="AF8" s="7">
        <v>313</v>
      </c>
      <c r="AG8" s="7">
        <v>334000</v>
      </c>
      <c r="AH8" s="7">
        <v>43200</v>
      </c>
    </row>
    <row r="9" spans="1:34" x14ac:dyDescent="0.3">
      <c r="A9" s="5">
        <v>8</v>
      </c>
      <c r="B9" s="5" t="s">
        <v>37</v>
      </c>
      <c r="C9" s="6" t="s">
        <v>146</v>
      </c>
      <c r="D9" s="6" t="s">
        <v>146</v>
      </c>
      <c r="E9" s="7">
        <v>440909</v>
      </c>
      <c r="F9" s="7">
        <v>35000</v>
      </c>
      <c r="G9" s="7">
        <v>576646013.40805268</v>
      </c>
      <c r="H9" s="7">
        <v>21363</v>
      </c>
      <c r="I9" s="7">
        <v>217117</v>
      </c>
      <c r="J9" s="7">
        <v>6300</v>
      </c>
      <c r="K9" s="7">
        <v>5</v>
      </c>
      <c r="L9" s="7">
        <v>0</v>
      </c>
      <c r="M9" s="7">
        <v>5</v>
      </c>
      <c r="N9" s="7">
        <v>2000</v>
      </c>
      <c r="O9" s="7">
        <v>76363.636363636368</v>
      </c>
      <c r="P9" s="7">
        <v>4220000</v>
      </c>
      <c r="Q9" s="7">
        <v>0</v>
      </c>
      <c r="R9" s="7">
        <v>0</v>
      </c>
      <c r="S9" s="7">
        <v>0</v>
      </c>
      <c r="T9" s="7">
        <v>31290100.639500599</v>
      </c>
      <c r="U9" s="7">
        <v>0</v>
      </c>
      <c r="V9" s="7">
        <v>3746.3582316697903</v>
      </c>
      <c r="W9" s="7">
        <v>1587613281.8609478</v>
      </c>
      <c r="X9" s="7">
        <v>7182326.4965543412</v>
      </c>
      <c r="Y9" s="7">
        <v>16500</v>
      </c>
      <c r="Z9" s="7">
        <v>0</v>
      </c>
      <c r="AA9" s="7">
        <v>0</v>
      </c>
      <c r="AB9" s="7">
        <v>0</v>
      </c>
      <c r="AC9" s="7">
        <v>361</v>
      </c>
      <c r="AD9" s="7">
        <v>391</v>
      </c>
      <c r="AE9" s="7">
        <v>281</v>
      </c>
      <c r="AF9" s="7">
        <v>250</v>
      </c>
      <c r="AG9" s="7">
        <v>58300</v>
      </c>
      <c r="AH9" s="7">
        <v>18400</v>
      </c>
    </row>
    <row r="10" spans="1:34" x14ac:dyDescent="0.3">
      <c r="A10" s="5">
        <v>9</v>
      </c>
      <c r="B10" s="5" t="s">
        <v>38</v>
      </c>
      <c r="C10" s="6" t="s">
        <v>145</v>
      </c>
      <c r="D10" s="6" t="s">
        <v>151</v>
      </c>
      <c r="E10" s="7">
        <v>6000000</v>
      </c>
      <c r="F10" s="7">
        <v>12272</v>
      </c>
      <c r="G10" s="7">
        <v>318884700.10612929</v>
      </c>
      <c r="H10" s="7">
        <v>50909</v>
      </c>
      <c r="I10" s="7">
        <v>2954545</v>
      </c>
      <c r="J10" s="7">
        <v>0</v>
      </c>
      <c r="K10" s="7">
        <v>0</v>
      </c>
      <c r="L10" s="7">
        <v>16100</v>
      </c>
      <c r="M10" s="7">
        <v>5</v>
      </c>
      <c r="N10" s="7">
        <v>50000</v>
      </c>
      <c r="O10" s="7">
        <v>32950000</v>
      </c>
      <c r="P10" s="7">
        <v>0</v>
      </c>
      <c r="Q10" s="7">
        <v>0</v>
      </c>
      <c r="R10" s="7">
        <v>0</v>
      </c>
      <c r="S10" s="7">
        <v>0</v>
      </c>
      <c r="T10" s="7">
        <v>46700008.540051088</v>
      </c>
      <c r="U10" s="7">
        <v>0</v>
      </c>
      <c r="V10" s="7">
        <v>526283659.44292212</v>
      </c>
      <c r="W10" s="7">
        <v>8803633277.1746788</v>
      </c>
      <c r="X10" s="7">
        <v>11062.064906698026</v>
      </c>
      <c r="Y10" s="7">
        <v>318000</v>
      </c>
      <c r="Z10" s="7">
        <v>0</v>
      </c>
      <c r="AA10" s="7">
        <v>16500000</v>
      </c>
      <c r="AB10" s="7">
        <v>0</v>
      </c>
      <c r="AC10" s="7">
        <v>137</v>
      </c>
      <c r="AD10" s="7">
        <v>92</v>
      </c>
      <c r="AE10" s="7">
        <v>0</v>
      </c>
      <c r="AF10" s="7">
        <v>324</v>
      </c>
      <c r="AG10" s="7">
        <v>0</v>
      </c>
      <c r="AH10" s="7">
        <v>268800</v>
      </c>
    </row>
    <row r="11" spans="1:34" x14ac:dyDescent="0.3">
      <c r="A11" s="5">
        <v>10</v>
      </c>
      <c r="B11" s="5" t="s">
        <v>39</v>
      </c>
      <c r="C11" s="6" t="s">
        <v>145</v>
      </c>
      <c r="D11" s="6" t="s">
        <v>151</v>
      </c>
      <c r="E11" s="7">
        <v>1181818</v>
      </c>
      <c r="F11" s="7">
        <v>80000</v>
      </c>
      <c r="G11" s="7">
        <v>105052245.52595152</v>
      </c>
      <c r="H11" s="7">
        <v>46363</v>
      </c>
      <c r="I11" s="7">
        <v>2272727</v>
      </c>
      <c r="J11" s="7">
        <v>0</v>
      </c>
      <c r="K11" s="7">
        <v>0</v>
      </c>
      <c r="L11" s="7">
        <v>35350</v>
      </c>
      <c r="M11" s="7">
        <v>0</v>
      </c>
      <c r="N11" s="7">
        <v>5454.545454545455</v>
      </c>
      <c r="O11" s="7">
        <v>3850000</v>
      </c>
      <c r="P11" s="7">
        <v>0</v>
      </c>
      <c r="Q11" s="7">
        <v>0</v>
      </c>
      <c r="R11" s="7">
        <v>0</v>
      </c>
      <c r="S11" s="7">
        <v>0</v>
      </c>
      <c r="T11" s="7">
        <v>44062786.684784584</v>
      </c>
      <c r="U11" s="7">
        <v>0</v>
      </c>
      <c r="V11" s="7">
        <v>204737609.89520222</v>
      </c>
      <c r="W11" s="7">
        <v>2455218331.519578</v>
      </c>
      <c r="X11" s="7">
        <v>54619.885304896052</v>
      </c>
      <c r="Y11" s="7">
        <v>0</v>
      </c>
      <c r="Z11" s="7">
        <v>0</v>
      </c>
      <c r="AA11" s="7">
        <v>11700000</v>
      </c>
      <c r="AB11" s="7">
        <v>0</v>
      </c>
      <c r="AC11" s="7">
        <v>66</v>
      </c>
      <c r="AD11" s="7">
        <v>50</v>
      </c>
      <c r="AE11" s="7">
        <v>0</v>
      </c>
      <c r="AF11" s="7">
        <v>154</v>
      </c>
      <c r="AG11" s="7">
        <v>0</v>
      </c>
      <c r="AH11" s="7">
        <v>229600</v>
      </c>
    </row>
    <row r="12" spans="1:34" x14ac:dyDescent="0.3">
      <c r="A12" s="5">
        <v>11</v>
      </c>
      <c r="B12" s="5" t="s">
        <v>40</v>
      </c>
      <c r="C12" s="6" t="s">
        <v>145</v>
      </c>
      <c r="D12" s="6" t="s">
        <v>151</v>
      </c>
      <c r="E12" s="7">
        <v>1959016</v>
      </c>
      <c r="F12" s="7">
        <v>105000</v>
      </c>
      <c r="G12" s="7">
        <v>262934306.97522908</v>
      </c>
      <c r="H12" s="7">
        <v>64090</v>
      </c>
      <c r="I12" s="7">
        <v>2040983</v>
      </c>
      <c r="J12" s="7">
        <v>0</v>
      </c>
      <c r="K12" s="7">
        <v>0</v>
      </c>
      <c r="L12" s="7">
        <v>32950</v>
      </c>
      <c r="M12" s="7">
        <v>0</v>
      </c>
      <c r="N12" s="7">
        <v>5500</v>
      </c>
      <c r="O12" s="7">
        <v>5550000</v>
      </c>
      <c r="P12" s="7">
        <v>0</v>
      </c>
      <c r="Q12" s="7">
        <v>0</v>
      </c>
      <c r="R12" s="7">
        <v>0</v>
      </c>
      <c r="S12" s="7">
        <v>0</v>
      </c>
      <c r="T12" s="7">
        <v>39480892.342886284</v>
      </c>
      <c r="U12" s="7">
        <v>0</v>
      </c>
      <c r="V12" s="7">
        <v>250742047.46149775</v>
      </c>
      <c r="W12" s="7">
        <v>2882681837.4189587</v>
      </c>
      <c r="X12" s="7">
        <v>0</v>
      </c>
      <c r="Y12" s="7">
        <v>0</v>
      </c>
      <c r="Z12" s="7">
        <v>0</v>
      </c>
      <c r="AA12" s="7">
        <v>7580000</v>
      </c>
      <c r="AB12" s="7">
        <v>0</v>
      </c>
      <c r="AC12" s="7">
        <v>137</v>
      </c>
      <c r="AD12" s="7">
        <v>98</v>
      </c>
      <c r="AE12" s="7">
        <v>0</v>
      </c>
      <c r="AF12" s="7">
        <v>262</v>
      </c>
      <c r="AG12" s="7">
        <v>0</v>
      </c>
      <c r="AH12" s="7">
        <v>1100000</v>
      </c>
    </row>
    <row r="13" spans="1:34" x14ac:dyDescent="0.3">
      <c r="A13" s="5">
        <v>12</v>
      </c>
      <c r="B13" s="5" t="s">
        <v>41</v>
      </c>
      <c r="C13" s="6" t="s">
        <v>144</v>
      </c>
      <c r="D13" s="6" t="s">
        <v>151</v>
      </c>
      <c r="E13" s="7">
        <v>1729729</v>
      </c>
      <c r="F13" s="7">
        <v>13636</v>
      </c>
      <c r="G13" s="7">
        <v>496827.3857186216</v>
      </c>
      <c r="H13" s="7">
        <v>550</v>
      </c>
      <c r="I13" s="7">
        <v>157142</v>
      </c>
      <c r="J13" s="7">
        <v>0</v>
      </c>
      <c r="K13" s="7">
        <v>275</v>
      </c>
      <c r="L13" s="7">
        <v>0</v>
      </c>
      <c r="M13" s="7">
        <v>0</v>
      </c>
      <c r="N13" s="7">
        <v>18500</v>
      </c>
      <c r="O13" s="7">
        <v>1230000</v>
      </c>
      <c r="P13" s="7">
        <v>0</v>
      </c>
      <c r="Q13" s="7">
        <v>0</v>
      </c>
      <c r="R13" s="7">
        <v>0</v>
      </c>
      <c r="S13" s="7">
        <v>0</v>
      </c>
      <c r="T13" s="7">
        <v>2279958594.3846712</v>
      </c>
      <c r="U13" s="7">
        <v>13981.473455970226</v>
      </c>
      <c r="V13" s="7">
        <v>4863.5789291426127</v>
      </c>
      <c r="W13" s="7">
        <v>63817377.917805426</v>
      </c>
      <c r="X13" s="7">
        <v>0</v>
      </c>
      <c r="Y13" s="7">
        <v>42400</v>
      </c>
      <c r="Z13" s="7">
        <v>151000000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</row>
    <row r="14" spans="1:34" x14ac:dyDescent="0.3">
      <c r="A14" s="5">
        <v>13</v>
      </c>
      <c r="B14" s="5" t="s">
        <v>42</v>
      </c>
      <c r="C14" s="6" t="s">
        <v>146</v>
      </c>
      <c r="D14" s="6" t="s">
        <v>146</v>
      </c>
      <c r="E14" s="7">
        <v>819004</v>
      </c>
      <c r="F14" s="7">
        <v>45909</v>
      </c>
      <c r="G14" s="7">
        <v>700861195.10926437</v>
      </c>
      <c r="H14" s="7">
        <v>25454</v>
      </c>
      <c r="I14" s="7">
        <v>495454</v>
      </c>
      <c r="J14" s="7">
        <v>13500</v>
      </c>
      <c r="K14" s="7">
        <v>15</v>
      </c>
      <c r="L14" s="7">
        <v>390</v>
      </c>
      <c r="M14" s="7">
        <v>75</v>
      </c>
      <c r="N14" s="7">
        <v>1800</v>
      </c>
      <c r="O14" s="7">
        <v>55163.934426229505</v>
      </c>
      <c r="P14" s="7">
        <v>0</v>
      </c>
      <c r="Q14" s="7">
        <v>0</v>
      </c>
      <c r="R14" s="7">
        <v>0</v>
      </c>
      <c r="S14" s="7">
        <v>0</v>
      </c>
      <c r="T14" s="7">
        <v>18664096.015995242</v>
      </c>
      <c r="U14" s="7">
        <v>0</v>
      </c>
      <c r="V14" s="7">
        <v>0</v>
      </c>
      <c r="W14" s="7">
        <v>4118261692.5379653</v>
      </c>
      <c r="X14" s="7">
        <v>6316785.9271928342</v>
      </c>
      <c r="Y14" s="7">
        <v>49200</v>
      </c>
      <c r="Z14" s="7">
        <v>0</v>
      </c>
      <c r="AA14" s="7">
        <v>0</v>
      </c>
      <c r="AB14" s="7">
        <v>0</v>
      </c>
      <c r="AC14" s="7">
        <v>510</v>
      </c>
      <c r="AD14" s="7">
        <v>620</v>
      </c>
      <c r="AE14" s="7">
        <v>0</v>
      </c>
      <c r="AF14" s="7">
        <v>380</v>
      </c>
      <c r="AG14" s="7">
        <v>0</v>
      </c>
      <c r="AH14" s="7">
        <v>50400</v>
      </c>
    </row>
    <row r="15" spans="1:34" x14ac:dyDescent="0.3">
      <c r="A15" s="5">
        <v>14</v>
      </c>
      <c r="B15" s="5" t="s">
        <v>43</v>
      </c>
      <c r="C15" s="6" t="s">
        <v>146</v>
      </c>
      <c r="D15" s="6" t="s">
        <v>146</v>
      </c>
      <c r="E15" s="7">
        <v>277049</v>
      </c>
      <c r="F15" s="7">
        <v>35909</v>
      </c>
      <c r="G15" s="7">
        <v>195413484.14375094</v>
      </c>
      <c r="H15" s="7">
        <v>12252</v>
      </c>
      <c r="I15" s="7">
        <v>193693</v>
      </c>
      <c r="J15" s="7">
        <v>2538.6363636363635</v>
      </c>
      <c r="K15" s="7">
        <v>40</v>
      </c>
      <c r="L15" s="7">
        <v>2280</v>
      </c>
      <c r="M15" s="7">
        <v>290</v>
      </c>
      <c r="N15" s="7">
        <v>2650</v>
      </c>
      <c r="O15" s="7">
        <v>244166.66666666669</v>
      </c>
      <c r="P15" s="7">
        <v>62500000</v>
      </c>
      <c r="Q15" s="7">
        <v>0</v>
      </c>
      <c r="R15" s="7">
        <v>0</v>
      </c>
      <c r="S15" s="7">
        <v>0</v>
      </c>
      <c r="T15" s="7">
        <v>10709691.478391923</v>
      </c>
      <c r="U15" s="7">
        <v>0</v>
      </c>
      <c r="V15" s="7">
        <v>6214.8209950086257</v>
      </c>
      <c r="W15" s="7">
        <v>2555080366.5634608</v>
      </c>
      <c r="X15" s="7">
        <v>7657387.4255842008</v>
      </c>
      <c r="Y15" s="7">
        <v>22800</v>
      </c>
      <c r="Z15" s="7">
        <v>0</v>
      </c>
      <c r="AA15" s="7">
        <v>0</v>
      </c>
      <c r="AB15" s="7">
        <v>25000</v>
      </c>
      <c r="AC15" s="7">
        <v>310</v>
      </c>
      <c r="AD15" s="7">
        <v>370</v>
      </c>
      <c r="AE15" s="7">
        <v>0</v>
      </c>
      <c r="AF15" s="7">
        <v>210</v>
      </c>
      <c r="AG15" s="7">
        <v>153000</v>
      </c>
      <c r="AH15" s="7">
        <v>225200</v>
      </c>
    </row>
    <row r="16" spans="1:34" x14ac:dyDescent="0.3">
      <c r="A16" s="5">
        <v>15</v>
      </c>
      <c r="B16" s="5" t="s">
        <v>44</v>
      </c>
      <c r="C16" s="6" t="s">
        <v>144</v>
      </c>
      <c r="D16" s="6" t="s">
        <v>151</v>
      </c>
      <c r="E16" s="7">
        <v>5536363</v>
      </c>
      <c r="F16" s="7">
        <v>50000</v>
      </c>
      <c r="G16" s="7">
        <v>3794099718.0446382</v>
      </c>
      <c r="H16" s="7">
        <v>96000</v>
      </c>
      <c r="I16" s="7">
        <v>118918</v>
      </c>
      <c r="J16" s="7">
        <v>0</v>
      </c>
      <c r="K16" s="7">
        <v>40</v>
      </c>
      <c r="L16" s="7">
        <v>0</v>
      </c>
      <c r="M16" s="7">
        <v>0</v>
      </c>
      <c r="N16" s="7">
        <v>55000</v>
      </c>
      <c r="O16" s="7">
        <v>1095000</v>
      </c>
      <c r="P16" s="7">
        <v>0</v>
      </c>
      <c r="Q16" s="7">
        <v>0</v>
      </c>
      <c r="R16" s="7">
        <v>0</v>
      </c>
      <c r="S16" s="7">
        <v>0</v>
      </c>
      <c r="T16" s="7">
        <v>19029262.628510661</v>
      </c>
      <c r="U16" s="7">
        <v>455110161.54806763</v>
      </c>
      <c r="V16" s="7">
        <v>233436079.46481621</v>
      </c>
      <c r="W16" s="7">
        <v>69831993461.000778</v>
      </c>
      <c r="X16" s="7">
        <v>336964.70048003545</v>
      </c>
      <c r="Y16" s="7">
        <v>16500</v>
      </c>
      <c r="Z16" s="7">
        <v>50600000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</row>
    <row r="17" spans="1:34" x14ac:dyDescent="0.3">
      <c r="A17" s="5">
        <v>16</v>
      </c>
      <c r="B17" s="5" t="s">
        <v>45</v>
      </c>
      <c r="C17" s="6" t="s">
        <v>145</v>
      </c>
      <c r="D17" s="6" t="s">
        <v>151</v>
      </c>
      <c r="E17" s="7">
        <v>91500000</v>
      </c>
      <c r="F17" s="7">
        <v>214285</v>
      </c>
      <c r="G17" s="7">
        <v>639854823.44835436</v>
      </c>
      <c r="H17" s="7">
        <v>44090</v>
      </c>
      <c r="I17" s="7">
        <v>9772727</v>
      </c>
      <c r="J17" s="7">
        <v>0</v>
      </c>
      <c r="K17" s="7">
        <v>0</v>
      </c>
      <c r="L17" s="7">
        <v>4104.545454545454</v>
      </c>
      <c r="M17" s="7">
        <v>0</v>
      </c>
      <c r="N17" s="7">
        <v>50000</v>
      </c>
      <c r="O17" s="7">
        <v>6900000</v>
      </c>
      <c r="P17" s="7">
        <v>0</v>
      </c>
      <c r="Q17" s="7">
        <v>0</v>
      </c>
      <c r="R17" s="7">
        <v>0</v>
      </c>
      <c r="S17" s="7">
        <v>0</v>
      </c>
      <c r="T17" s="7">
        <v>12030036.914479487</v>
      </c>
      <c r="U17" s="7">
        <v>0</v>
      </c>
      <c r="V17" s="7">
        <v>631101961.76488626</v>
      </c>
      <c r="W17" s="7">
        <v>7077814204.5099087</v>
      </c>
      <c r="X17" s="7">
        <v>87034.984671682454</v>
      </c>
      <c r="Y17" s="7">
        <v>268000</v>
      </c>
      <c r="Z17" s="7">
        <v>0</v>
      </c>
      <c r="AA17" s="7">
        <v>33200000</v>
      </c>
      <c r="AB17" s="7">
        <v>0</v>
      </c>
      <c r="AC17" s="7">
        <v>0</v>
      </c>
      <c r="AD17" s="7">
        <v>0</v>
      </c>
      <c r="AE17" s="7">
        <v>0</v>
      </c>
      <c r="AF17" s="7">
        <v>59</v>
      </c>
      <c r="AG17" s="7">
        <v>0</v>
      </c>
      <c r="AH17" s="7">
        <v>604000</v>
      </c>
    </row>
    <row r="18" spans="1:34" x14ac:dyDescent="0.3">
      <c r="A18" s="5">
        <v>17</v>
      </c>
      <c r="B18" s="5" t="s">
        <v>46</v>
      </c>
      <c r="C18" s="6" t="s">
        <v>147</v>
      </c>
      <c r="D18" s="6" t="s">
        <v>151</v>
      </c>
      <c r="E18" s="7">
        <v>17090909</v>
      </c>
      <c r="F18" s="7">
        <v>547619</v>
      </c>
      <c r="G18" s="7">
        <v>4311900582.4695997</v>
      </c>
      <c r="H18" s="7">
        <v>2509</v>
      </c>
      <c r="I18" s="7">
        <v>4250000</v>
      </c>
      <c r="J18" s="7">
        <v>0</v>
      </c>
      <c r="K18" s="7">
        <v>0</v>
      </c>
      <c r="L18" s="7">
        <v>0</v>
      </c>
      <c r="M18" s="7">
        <v>0</v>
      </c>
      <c r="N18" s="7">
        <v>47500</v>
      </c>
      <c r="O18" s="7">
        <v>133000</v>
      </c>
      <c r="P18" s="7">
        <v>0</v>
      </c>
      <c r="Q18" s="7">
        <v>0</v>
      </c>
      <c r="R18" s="7">
        <v>0</v>
      </c>
      <c r="S18" s="7">
        <v>26239574.820295356</v>
      </c>
      <c r="T18" s="7">
        <v>43217233.240818493</v>
      </c>
      <c r="U18" s="7">
        <v>0</v>
      </c>
      <c r="V18" s="7">
        <v>0</v>
      </c>
      <c r="W18" s="7">
        <v>3014776510.1392918</v>
      </c>
      <c r="X18" s="7">
        <v>3793735.8946271422</v>
      </c>
      <c r="Y18" s="7">
        <v>44600</v>
      </c>
      <c r="Z18" s="7">
        <v>0</v>
      </c>
      <c r="AA18" s="7">
        <v>0</v>
      </c>
      <c r="AB18" s="7">
        <v>5000000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</row>
    <row r="19" spans="1:34" x14ac:dyDescent="0.3">
      <c r="A19" s="5">
        <v>18</v>
      </c>
      <c r="B19" s="5" t="s">
        <v>47</v>
      </c>
      <c r="C19" s="6" t="s">
        <v>147</v>
      </c>
      <c r="D19" s="6" t="s">
        <v>151</v>
      </c>
      <c r="E19" s="7">
        <v>1049549</v>
      </c>
      <c r="F19" s="7">
        <v>38009</v>
      </c>
      <c r="G19" s="7">
        <v>166636879.82666141</v>
      </c>
      <c r="H19" s="7">
        <v>6818</v>
      </c>
      <c r="I19" s="7">
        <v>295454</v>
      </c>
      <c r="J19" s="7">
        <v>0</v>
      </c>
      <c r="K19" s="7">
        <v>0</v>
      </c>
      <c r="L19" s="7">
        <v>0</v>
      </c>
      <c r="M19" s="7">
        <v>54.54545454545454</v>
      </c>
      <c r="N19" s="7">
        <v>2000</v>
      </c>
      <c r="O19" s="7">
        <v>85454.545454545456</v>
      </c>
      <c r="P19" s="7">
        <v>0</v>
      </c>
      <c r="Q19" s="7">
        <v>0</v>
      </c>
      <c r="R19" s="7">
        <v>0</v>
      </c>
      <c r="S19" s="7">
        <v>28318344.034422964</v>
      </c>
      <c r="T19" s="7">
        <v>11350682.086453702</v>
      </c>
      <c r="U19" s="7">
        <v>0</v>
      </c>
      <c r="V19" s="7">
        <v>0</v>
      </c>
      <c r="W19" s="7">
        <v>17811368298.42672</v>
      </c>
      <c r="X19" s="7">
        <v>1733581.2991958582</v>
      </c>
      <c r="Y19" s="7">
        <v>121000</v>
      </c>
      <c r="Z19" s="7">
        <v>0</v>
      </c>
      <c r="AA19" s="7">
        <v>0</v>
      </c>
      <c r="AB19" s="7">
        <v>4660000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</row>
    <row r="20" spans="1:34" x14ac:dyDescent="0.3">
      <c r="A20" s="5">
        <v>19</v>
      </c>
      <c r="B20" s="5" t="s">
        <v>48</v>
      </c>
      <c r="C20" s="6" t="s">
        <v>145</v>
      </c>
      <c r="D20" s="6" t="s">
        <v>151</v>
      </c>
      <c r="E20" s="7">
        <v>33090909</v>
      </c>
      <c r="F20" s="7">
        <v>90000</v>
      </c>
      <c r="G20" s="7">
        <v>556500461.80930352</v>
      </c>
      <c r="H20" s="7">
        <v>51363</v>
      </c>
      <c r="I20" s="7">
        <v>283783</v>
      </c>
      <c r="J20" s="7">
        <v>0</v>
      </c>
      <c r="K20" s="7">
        <v>0</v>
      </c>
      <c r="L20" s="7">
        <v>1640.9090909090908</v>
      </c>
      <c r="M20" s="7">
        <v>0</v>
      </c>
      <c r="N20" s="7">
        <v>300000</v>
      </c>
      <c r="O20" s="7">
        <v>17450000</v>
      </c>
      <c r="P20" s="7">
        <v>0</v>
      </c>
      <c r="Q20" s="7">
        <v>0</v>
      </c>
      <c r="R20" s="7">
        <v>0</v>
      </c>
      <c r="S20" s="7">
        <v>0</v>
      </c>
      <c r="T20" s="7">
        <v>17496732.816444088</v>
      </c>
      <c r="U20" s="7">
        <v>0</v>
      </c>
      <c r="V20" s="7">
        <v>426976546.68555272</v>
      </c>
      <c r="W20" s="7">
        <v>2474330792.1692333</v>
      </c>
      <c r="X20" s="7">
        <v>822.41867683072473</v>
      </c>
      <c r="Y20" s="7">
        <v>1720000</v>
      </c>
      <c r="Z20" s="7">
        <v>0</v>
      </c>
      <c r="AA20" s="7">
        <v>2260000</v>
      </c>
      <c r="AB20" s="7">
        <v>0</v>
      </c>
      <c r="AC20" s="7">
        <v>0</v>
      </c>
      <c r="AD20" s="7">
        <v>0</v>
      </c>
      <c r="AE20" s="7">
        <v>0</v>
      </c>
      <c r="AF20" s="7">
        <v>82</v>
      </c>
      <c r="AG20" s="7">
        <v>0</v>
      </c>
      <c r="AH20" s="7">
        <v>42800</v>
      </c>
    </row>
    <row r="21" spans="1:34" x14ac:dyDescent="0.3">
      <c r="A21" s="5">
        <v>20</v>
      </c>
      <c r="B21" s="5" t="s">
        <v>49</v>
      </c>
      <c r="C21" s="6" t="s">
        <v>144</v>
      </c>
      <c r="D21" s="6" t="s">
        <v>151</v>
      </c>
      <c r="E21" s="7">
        <v>12272727</v>
      </c>
      <c r="F21" s="7">
        <v>365000</v>
      </c>
      <c r="G21" s="7">
        <v>1932336606.6270132</v>
      </c>
      <c r="H21" s="7">
        <v>13500</v>
      </c>
      <c r="I21" s="7">
        <v>1647619</v>
      </c>
      <c r="J21" s="7">
        <v>0</v>
      </c>
      <c r="K21" s="7">
        <v>72.72727272727272</v>
      </c>
      <c r="L21" s="7">
        <v>0</v>
      </c>
      <c r="M21" s="7">
        <v>0</v>
      </c>
      <c r="N21" s="7">
        <v>110000</v>
      </c>
      <c r="O21" s="7">
        <v>2425000</v>
      </c>
      <c r="P21" s="7">
        <v>0</v>
      </c>
      <c r="Q21" s="7">
        <v>0</v>
      </c>
      <c r="R21" s="7">
        <v>0</v>
      </c>
      <c r="S21" s="7">
        <v>0</v>
      </c>
      <c r="T21" s="7">
        <v>14229739.838809604</v>
      </c>
      <c r="U21" s="7">
        <v>58840302.837453343</v>
      </c>
      <c r="V21" s="7">
        <v>36555572.822539657</v>
      </c>
      <c r="W21" s="7">
        <v>11919535872.040548</v>
      </c>
      <c r="X21" s="7">
        <v>822215.97097405011</v>
      </c>
      <c r="Y21" s="7">
        <v>6780000</v>
      </c>
      <c r="Z21" s="7">
        <v>356000000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</row>
    <row r="22" spans="1:34" x14ac:dyDescent="0.3">
      <c r="A22" s="5">
        <v>21</v>
      </c>
      <c r="B22" s="5" t="s">
        <v>50</v>
      </c>
      <c r="C22" s="6" t="s">
        <v>147</v>
      </c>
      <c r="D22" s="6" t="s">
        <v>151</v>
      </c>
      <c r="E22" s="7">
        <v>2787330</v>
      </c>
      <c r="F22" s="7">
        <v>81981</v>
      </c>
      <c r="G22" s="7">
        <v>102719469.65523528</v>
      </c>
      <c r="H22" s="7">
        <v>2181</v>
      </c>
      <c r="I22" s="7">
        <v>1218181</v>
      </c>
      <c r="J22" s="7">
        <v>5</v>
      </c>
      <c r="K22" s="7">
        <v>0</v>
      </c>
      <c r="L22" s="7">
        <v>0</v>
      </c>
      <c r="M22" s="7">
        <v>10</v>
      </c>
      <c r="N22" s="7">
        <v>6000</v>
      </c>
      <c r="O22" s="7">
        <v>200909.09090909091</v>
      </c>
      <c r="P22" s="7">
        <v>0</v>
      </c>
      <c r="Q22" s="7">
        <v>0</v>
      </c>
      <c r="R22" s="7">
        <v>0</v>
      </c>
      <c r="S22" s="7">
        <v>27136382.986260898</v>
      </c>
      <c r="T22" s="7">
        <v>104024816.88718921</v>
      </c>
      <c r="U22" s="7">
        <v>0</v>
      </c>
      <c r="V22" s="7">
        <v>0</v>
      </c>
      <c r="W22" s="7">
        <v>5105228025.8645411</v>
      </c>
      <c r="X22" s="7">
        <v>1584924.7826493217</v>
      </c>
      <c r="Y22" s="7">
        <v>156000</v>
      </c>
      <c r="Z22" s="7">
        <v>0</v>
      </c>
      <c r="AA22" s="7">
        <v>0</v>
      </c>
      <c r="AB22" s="7">
        <v>770000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</row>
    <row r="23" spans="1:34" x14ac:dyDescent="0.3">
      <c r="A23" s="5">
        <v>22</v>
      </c>
      <c r="B23" s="5" t="s">
        <v>51</v>
      </c>
      <c r="C23" s="6" t="s">
        <v>147</v>
      </c>
      <c r="D23" s="6" t="s">
        <v>151</v>
      </c>
      <c r="E23" s="7">
        <v>8136363</v>
      </c>
      <c r="F23" s="7">
        <v>481818</v>
      </c>
      <c r="G23" s="7">
        <v>2142909074.9294496</v>
      </c>
      <c r="H23" s="7">
        <v>1328</v>
      </c>
      <c r="I23" s="7">
        <v>5454545</v>
      </c>
      <c r="J23" s="7">
        <v>0</v>
      </c>
      <c r="K23" s="7">
        <v>0</v>
      </c>
      <c r="L23" s="7">
        <v>0</v>
      </c>
      <c r="M23" s="7">
        <v>50</v>
      </c>
      <c r="N23" s="7">
        <v>23181.818181818184</v>
      </c>
      <c r="O23" s="7">
        <v>570454.54545454553</v>
      </c>
      <c r="P23" s="7">
        <v>0</v>
      </c>
      <c r="Q23" s="7">
        <v>0</v>
      </c>
      <c r="R23" s="7">
        <v>0</v>
      </c>
      <c r="S23" s="7">
        <v>20054967.382788099</v>
      </c>
      <c r="T23" s="7">
        <v>572343770.17011642</v>
      </c>
      <c r="U23" s="7">
        <v>0</v>
      </c>
      <c r="V23" s="7">
        <v>0</v>
      </c>
      <c r="W23" s="7">
        <v>420166125.92411584</v>
      </c>
      <c r="X23" s="7">
        <v>1850552.8531603306</v>
      </c>
      <c r="Y23" s="7">
        <v>5280000</v>
      </c>
      <c r="Z23" s="7">
        <v>0</v>
      </c>
      <c r="AA23" s="7">
        <v>0</v>
      </c>
      <c r="AB23" s="7">
        <v>346000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</row>
    <row r="24" spans="1:34" x14ac:dyDescent="0.3">
      <c r="A24" s="5">
        <v>23</v>
      </c>
      <c r="B24" s="5" t="s">
        <v>52</v>
      </c>
      <c r="C24" s="6" t="s">
        <v>146</v>
      </c>
      <c r="D24" s="6" t="s">
        <v>146</v>
      </c>
      <c r="E24" s="7">
        <v>940909</v>
      </c>
      <c r="F24" s="7">
        <v>41818</v>
      </c>
      <c r="G24" s="7">
        <v>67191080.154871747</v>
      </c>
      <c r="H24" s="7">
        <v>19545</v>
      </c>
      <c r="I24" s="7">
        <v>100900</v>
      </c>
      <c r="J24" s="7">
        <v>0</v>
      </c>
      <c r="K24" s="7">
        <v>0</v>
      </c>
      <c r="L24" s="7">
        <v>85</v>
      </c>
      <c r="M24" s="7">
        <v>0</v>
      </c>
      <c r="N24" s="7">
        <v>6216.2162162162149</v>
      </c>
      <c r="O24" s="7">
        <v>46818.181818181816</v>
      </c>
      <c r="P24" s="7">
        <v>379619.89086155198</v>
      </c>
      <c r="Q24" s="7">
        <v>0</v>
      </c>
      <c r="R24" s="7">
        <v>0</v>
      </c>
      <c r="S24" s="7">
        <v>0</v>
      </c>
      <c r="T24" s="7">
        <v>53483763.531483635</v>
      </c>
      <c r="U24" s="7">
        <v>0</v>
      </c>
      <c r="V24" s="7">
        <v>0</v>
      </c>
      <c r="W24" s="7">
        <v>1633268658.29392</v>
      </c>
      <c r="X24" s="7">
        <v>4086309.1518535698</v>
      </c>
      <c r="Y24" s="7">
        <v>314000</v>
      </c>
      <c r="Z24" s="7">
        <v>0</v>
      </c>
      <c r="AA24" s="7">
        <v>0</v>
      </c>
      <c r="AB24" s="7">
        <v>0</v>
      </c>
      <c r="AC24" s="7">
        <v>160</v>
      </c>
      <c r="AD24" s="7">
        <v>170</v>
      </c>
      <c r="AE24" s="7">
        <v>0</v>
      </c>
      <c r="AF24" s="7">
        <v>83</v>
      </c>
      <c r="AG24" s="7">
        <v>0</v>
      </c>
      <c r="AH24" s="7">
        <v>12800</v>
      </c>
    </row>
    <row r="25" spans="1:34" x14ac:dyDescent="0.3">
      <c r="A25" s="5">
        <v>24</v>
      </c>
      <c r="B25" s="5" t="s">
        <v>53</v>
      </c>
      <c r="C25" s="6" t="s">
        <v>144</v>
      </c>
      <c r="D25" s="6" t="s">
        <v>151</v>
      </c>
      <c r="E25" s="7">
        <v>16954545</v>
      </c>
      <c r="F25" s="7">
        <v>35909</v>
      </c>
      <c r="G25" s="7">
        <v>720428396.3940233</v>
      </c>
      <c r="H25" s="7">
        <v>26363</v>
      </c>
      <c r="I25" s="7">
        <v>118918</v>
      </c>
      <c r="J25" s="7">
        <v>0</v>
      </c>
      <c r="K25" s="7">
        <v>23428.571428571428</v>
      </c>
      <c r="L25" s="7">
        <v>0</v>
      </c>
      <c r="M25" s="7">
        <v>0</v>
      </c>
      <c r="N25" s="7">
        <v>2500</v>
      </c>
      <c r="O25" s="7">
        <v>527272.72727272729</v>
      </c>
      <c r="P25" s="7">
        <v>78393.482915275701</v>
      </c>
      <c r="Q25" s="7">
        <v>1590277.6669772801</v>
      </c>
      <c r="R25" s="7">
        <v>0</v>
      </c>
      <c r="S25" s="7">
        <v>0</v>
      </c>
      <c r="T25" s="7">
        <v>165613966.96514523</v>
      </c>
      <c r="U25" s="7">
        <v>49224360.942606464</v>
      </c>
      <c r="V25" s="7">
        <v>24920117.113047443</v>
      </c>
      <c r="W25" s="7">
        <v>6373079469.9484587</v>
      </c>
      <c r="X25" s="7">
        <v>355607.22144298477</v>
      </c>
      <c r="Y25" s="7">
        <v>964000</v>
      </c>
      <c r="Z25" s="7">
        <v>42200000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</row>
    <row r="26" spans="1:34" x14ac:dyDescent="0.3">
      <c r="A26" s="5">
        <v>25</v>
      </c>
      <c r="B26" s="5" t="s">
        <v>54</v>
      </c>
      <c r="C26" s="6" t="s">
        <v>145</v>
      </c>
      <c r="D26" s="6" t="s">
        <v>151</v>
      </c>
      <c r="E26" s="7">
        <v>12318181</v>
      </c>
      <c r="F26" s="7">
        <v>57272</v>
      </c>
      <c r="G26" s="7">
        <v>607729959.73051941</v>
      </c>
      <c r="H26" s="7">
        <v>36818</v>
      </c>
      <c r="I26" s="7">
        <v>29333333</v>
      </c>
      <c r="J26" s="7">
        <v>0</v>
      </c>
      <c r="K26" s="7">
        <v>0</v>
      </c>
      <c r="L26" s="7">
        <v>2349.9999999999995</v>
      </c>
      <c r="M26" s="7">
        <v>0</v>
      </c>
      <c r="N26" s="7">
        <v>5000</v>
      </c>
      <c r="O26" s="7">
        <v>8524999.9999999981</v>
      </c>
      <c r="P26" s="7">
        <v>0</v>
      </c>
      <c r="Q26" s="7">
        <v>32673.296960301501</v>
      </c>
      <c r="R26" s="7">
        <v>271958.07596315403</v>
      </c>
      <c r="S26" s="7">
        <v>0</v>
      </c>
      <c r="T26" s="7">
        <v>62049310.508699402</v>
      </c>
      <c r="U26" s="7">
        <v>0</v>
      </c>
      <c r="V26" s="7">
        <v>391322689.26667058</v>
      </c>
      <c r="W26" s="7">
        <v>3653354146.8294086</v>
      </c>
      <c r="X26" s="7">
        <v>15673.599428338086</v>
      </c>
      <c r="Y26" s="7">
        <v>1230000</v>
      </c>
      <c r="Z26" s="7">
        <v>0</v>
      </c>
      <c r="AA26" s="7">
        <v>2620000</v>
      </c>
      <c r="AB26" s="7">
        <v>0</v>
      </c>
      <c r="AC26" s="7">
        <v>54</v>
      </c>
      <c r="AD26" s="7">
        <v>0</v>
      </c>
      <c r="AE26" s="7">
        <v>0</v>
      </c>
      <c r="AF26" s="7">
        <v>140</v>
      </c>
      <c r="AG26" s="7">
        <v>0</v>
      </c>
      <c r="AH26" s="7">
        <v>1600</v>
      </c>
    </row>
    <row r="27" spans="1:34" x14ac:dyDescent="0.3">
      <c r="A27" s="5">
        <v>26</v>
      </c>
      <c r="B27" s="5" t="s">
        <v>55</v>
      </c>
      <c r="C27" s="6" t="s">
        <v>145</v>
      </c>
      <c r="D27" s="6" t="s">
        <v>151</v>
      </c>
      <c r="E27" s="7">
        <v>15630630</v>
      </c>
      <c r="F27" s="7">
        <v>81363</v>
      </c>
      <c r="G27" s="7">
        <v>74295440</v>
      </c>
      <c r="H27" s="7">
        <v>29090</v>
      </c>
      <c r="I27" s="7">
        <v>558558</v>
      </c>
      <c r="J27" s="7">
        <v>0</v>
      </c>
      <c r="K27" s="7">
        <v>10</v>
      </c>
      <c r="L27" s="7">
        <v>459.09090909090912</v>
      </c>
      <c r="M27" s="7">
        <v>0</v>
      </c>
      <c r="N27" s="7">
        <v>0</v>
      </c>
      <c r="O27" s="7">
        <v>2883333.333333333</v>
      </c>
      <c r="P27" s="7">
        <v>0</v>
      </c>
      <c r="Q27" s="7">
        <v>0</v>
      </c>
      <c r="R27" s="7">
        <v>0</v>
      </c>
      <c r="S27" s="7">
        <v>0</v>
      </c>
      <c r="T27" s="7">
        <v>102689717.70646071</v>
      </c>
      <c r="U27" s="7">
        <v>0</v>
      </c>
      <c r="V27" s="7">
        <v>202921356.13408461</v>
      </c>
      <c r="W27" s="7">
        <v>3112982814.5914626</v>
      </c>
      <c r="X27" s="7">
        <v>548418.72308111435</v>
      </c>
      <c r="Y27" s="7">
        <v>710000</v>
      </c>
      <c r="Z27" s="7">
        <v>0</v>
      </c>
      <c r="AA27" s="7">
        <v>5980000</v>
      </c>
      <c r="AB27" s="7">
        <v>0</v>
      </c>
      <c r="AC27" s="7">
        <v>52</v>
      </c>
      <c r="AD27" s="7">
        <v>0</v>
      </c>
      <c r="AE27" s="7">
        <v>0</v>
      </c>
      <c r="AF27" s="7">
        <v>88</v>
      </c>
      <c r="AG27" s="7">
        <v>0</v>
      </c>
      <c r="AH27" s="7">
        <v>22000</v>
      </c>
    </row>
    <row r="28" spans="1:34" x14ac:dyDescent="0.3">
      <c r="A28" s="5">
        <v>27</v>
      </c>
      <c r="B28" s="5" t="s">
        <v>56</v>
      </c>
      <c r="C28" s="6" t="s">
        <v>146</v>
      </c>
      <c r="D28" s="6" t="s">
        <v>146</v>
      </c>
      <c r="E28" s="7">
        <v>241803</v>
      </c>
      <c r="F28" s="7">
        <v>245000</v>
      </c>
      <c r="G28" s="7">
        <v>1397774322.0449517</v>
      </c>
      <c r="H28" s="7">
        <v>6416</v>
      </c>
      <c r="I28" s="7">
        <v>352380</v>
      </c>
      <c r="J28" s="7">
        <v>840</v>
      </c>
      <c r="K28" s="7">
        <v>0</v>
      </c>
      <c r="L28" s="7">
        <v>0</v>
      </c>
      <c r="M28" s="7">
        <v>0</v>
      </c>
      <c r="P28" s="7">
        <v>6027992.6216044417</v>
      </c>
      <c r="Q28" s="7">
        <v>0</v>
      </c>
      <c r="R28" s="7">
        <v>0</v>
      </c>
      <c r="S28" s="7">
        <v>0</v>
      </c>
      <c r="T28" s="7">
        <v>8672769.1982788108</v>
      </c>
      <c r="U28" s="7">
        <v>0</v>
      </c>
      <c r="V28" s="7">
        <v>0</v>
      </c>
      <c r="W28" s="7">
        <v>4795715046.5128498</v>
      </c>
      <c r="X28" s="7">
        <v>10617967.153386755</v>
      </c>
      <c r="Y28" s="7">
        <v>41800</v>
      </c>
      <c r="Z28" s="7">
        <v>0</v>
      </c>
      <c r="AA28" s="7">
        <v>0</v>
      </c>
      <c r="AB28" s="7">
        <v>0</v>
      </c>
      <c r="AH28" s="7">
        <v>1032507.18231255</v>
      </c>
    </row>
    <row r="29" spans="1:34" x14ac:dyDescent="0.3">
      <c r="A29" s="5">
        <v>28</v>
      </c>
      <c r="B29" s="5" t="s">
        <v>57</v>
      </c>
      <c r="C29" s="6" t="s">
        <v>146</v>
      </c>
      <c r="D29" s="6" t="s">
        <v>146</v>
      </c>
      <c r="E29" s="7">
        <v>368181</v>
      </c>
      <c r="F29" s="7">
        <v>590476</v>
      </c>
      <c r="G29" s="7">
        <v>468650281.24158233</v>
      </c>
      <c r="H29" s="7">
        <v>5285</v>
      </c>
      <c r="I29" s="7">
        <v>12380</v>
      </c>
      <c r="J29" s="7">
        <v>300</v>
      </c>
      <c r="K29" s="7">
        <v>0</v>
      </c>
      <c r="L29" s="7">
        <v>0</v>
      </c>
      <c r="M29" s="7">
        <v>0</v>
      </c>
      <c r="P29" s="7">
        <v>5992072.1044557989</v>
      </c>
      <c r="Q29" s="7">
        <v>0</v>
      </c>
      <c r="R29" s="7">
        <v>0</v>
      </c>
      <c r="S29" s="7">
        <v>0</v>
      </c>
      <c r="T29" s="7">
        <v>5066402.8658201797</v>
      </c>
      <c r="U29" s="7">
        <v>0</v>
      </c>
      <c r="V29" s="7">
        <v>0</v>
      </c>
      <c r="W29" s="7">
        <v>8844891629.1920967</v>
      </c>
      <c r="X29" s="7">
        <v>27424864.615658566</v>
      </c>
      <c r="Y29" s="7">
        <v>149000</v>
      </c>
      <c r="Z29" s="7">
        <v>0</v>
      </c>
      <c r="AA29" s="7">
        <v>0</v>
      </c>
      <c r="AB29" s="7">
        <v>0</v>
      </c>
      <c r="AH29" s="7">
        <v>0</v>
      </c>
    </row>
    <row r="30" spans="1:34" x14ac:dyDescent="0.3">
      <c r="A30" s="5">
        <v>29</v>
      </c>
      <c r="B30" s="5" t="s">
        <v>58</v>
      </c>
      <c r="C30" s="6" t="s">
        <v>146</v>
      </c>
      <c r="D30" s="6" t="s">
        <v>146</v>
      </c>
      <c r="E30" s="7">
        <v>125000</v>
      </c>
      <c r="F30" s="7">
        <v>46000</v>
      </c>
      <c r="G30" s="7">
        <v>507308077.41039062</v>
      </c>
      <c r="H30" s="7">
        <v>4290</v>
      </c>
      <c r="I30" s="7">
        <v>58600</v>
      </c>
      <c r="J30" s="7">
        <v>213.63636363636365</v>
      </c>
      <c r="K30" s="7">
        <v>0</v>
      </c>
      <c r="L30" s="7">
        <v>0</v>
      </c>
      <c r="M30" s="7">
        <v>10</v>
      </c>
      <c r="N30" s="7">
        <v>1150000</v>
      </c>
      <c r="O30" s="7">
        <v>1600000</v>
      </c>
      <c r="P30" s="7">
        <v>12050000</v>
      </c>
      <c r="Q30" s="7">
        <v>0</v>
      </c>
      <c r="R30" s="7">
        <v>0</v>
      </c>
      <c r="S30" s="7">
        <v>0</v>
      </c>
      <c r="T30" s="7">
        <v>24322709.901823178</v>
      </c>
      <c r="U30" s="7">
        <v>366.60605559646717</v>
      </c>
      <c r="V30" s="7">
        <v>0</v>
      </c>
      <c r="W30" s="7">
        <v>1808688414.0010052</v>
      </c>
      <c r="X30" s="7">
        <v>19071352.553954419</v>
      </c>
      <c r="Y30" s="7">
        <v>420000</v>
      </c>
      <c r="Z30" s="7">
        <v>0</v>
      </c>
      <c r="AA30" s="7">
        <v>0</v>
      </c>
      <c r="AB30" s="7">
        <v>20600</v>
      </c>
      <c r="AC30" s="7">
        <v>89</v>
      </c>
      <c r="AD30" s="7">
        <v>340</v>
      </c>
      <c r="AE30" s="7">
        <v>0</v>
      </c>
      <c r="AF30" s="7">
        <v>170</v>
      </c>
      <c r="AG30" s="7">
        <v>36800</v>
      </c>
      <c r="AH30" s="7">
        <v>73600</v>
      </c>
    </row>
    <row r="31" spans="1:34" x14ac:dyDescent="0.3">
      <c r="A31" s="5">
        <v>30</v>
      </c>
      <c r="B31" s="5" t="s">
        <v>59</v>
      </c>
      <c r="C31" s="6" t="s">
        <v>146</v>
      </c>
      <c r="D31" s="6" t="s">
        <v>146</v>
      </c>
      <c r="E31" s="7">
        <v>249000</v>
      </c>
      <c r="F31" s="7">
        <v>189000</v>
      </c>
      <c r="G31" s="7">
        <v>2270773468.3897295</v>
      </c>
      <c r="H31" s="7">
        <v>9650</v>
      </c>
      <c r="I31" s="7">
        <v>500000</v>
      </c>
      <c r="J31" s="7">
        <v>1854.5454545454545</v>
      </c>
      <c r="K31" s="7">
        <v>0</v>
      </c>
      <c r="L31" s="7">
        <v>10</v>
      </c>
      <c r="M31" s="7">
        <v>280</v>
      </c>
      <c r="N31" s="7">
        <v>4910000</v>
      </c>
      <c r="O31" s="7">
        <v>8550000</v>
      </c>
      <c r="P31" s="7">
        <v>17300000</v>
      </c>
      <c r="Q31" s="7">
        <v>0</v>
      </c>
      <c r="R31" s="7">
        <v>0</v>
      </c>
      <c r="S31" s="7">
        <v>0</v>
      </c>
      <c r="T31" s="7">
        <v>44348298.29223308</v>
      </c>
      <c r="U31" s="7">
        <v>0</v>
      </c>
      <c r="V31" s="7">
        <v>7436.1280247182403</v>
      </c>
      <c r="W31" s="7">
        <v>5253157656.3434629</v>
      </c>
      <c r="X31" s="7">
        <v>61724384.250219226</v>
      </c>
      <c r="Y31" s="7">
        <v>476000</v>
      </c>
      <c r="Z31" s="7">
        <v>0</v>
      </c>
      <c r="AA31" s="7">
        <v>131000</v>
      </c>
      <c r="AB31" s="7">
        <v>108000</v>
      </c>
      <c r="AC31" s="7">
        <v>250</v>
      </c>
      <c r="AD31" s="7">
        <v>960</v>
      </c>
      <c r="AE31" s="7">
        <v>0</v>
      </c>
      <c r="AF31" s="7">
        <v>450</v>
      </c>
      <c r="AG31" s="7">
        <v>231000</v>
      </c>
      <c r="AH31" s="7">
        <v>120000</v>
      </c>
    </row>
    <row r="32" spans="1:34" x14ac:dyDescent="0.3">
      <c r="A32" s="5">
        <v>31</v>
      </c>
      <c r="B32" s="5" t="s">
        <v>60</v>
      </c>
      <c r="C32" s="6" t="s">
        <v>144</v>
      </c>
      <c r="D32" s="6" t="s">
        <v>151</v>
      </c>
      <c r="E32" s="7">
        <v>9360</v>
      </c>
      <c r="F32" s="7">
        <v>291</v>
      </c>
      <c r="G32" s="7">
        <v>42722345.166538015</v>
      </c>
      <c r="H32" s="7">
        <v>118</v>
      </c>
      <c r="I32" s="7">
        <v>709</v>
      </c>
      <c r="J32" s="7">
        <v>0</v>
      </c>
      <c r="K32" s="7">
        <v>0</v>
      </c>
      <c r="L32" s="7">
        <v>0</v>
      </c>
      <c r="M32" s="7">
        <v>0</v>
      </c>
      <c r="N32" s="7">
        <v>2820</v>
      </c>
      <c r="O32" s="7">
        <v>564000</v>
      </c>
      <c r="P32" s="7">
        <v>0</v>
      </c>
      <c r="Q32" s="7">
        <v>0</v>
      </c>
      <c r="R32" s="7">
        <v>0</v>
      </c>
      <c r="S32" s="7">
        <v>0</v>
      </c>
      <c r="T32" s="7">
        <v>20168191.667486846</v>
      </c>
      <c r="U32" s="7">
        <v>168442454.97621077</v>
      </c>
      <c r="V32" s="7">
        <v>0</v>
      </c>
      <c r="W32" s="7">
        <v>5243269178.0351543</v>
      </c>
      <c r="X32" s="7">
        <v>0</v>
      </c>
      <c r="Y32" s="7">
        <v>534000</v>
      </c>
      <c r="Z32" s="7">
        <v>384000</v>
      </c>
      <c r="AA32" s="7">
        <v>0</v>
      </c>
      <c r="AB32" s="7">
        <v>0</v>
      </c>
      <c r="AC32" s="7">
        <v>240</v>
      </c>
      <c r="AD32" s="7">
        <v>910</v>
      </c>
      <c r="AE32" s="7">
        <v>0</v>
      </c>
      <c r="AF32" s="7">
        <v>340</v>
      </c>
      <c r="AG32" s="7">
        <v>0</v>
      </c>
      <c r="AH32" s="7">
        <v>0</v>
      </c>
    </row>
    <row r="33" spans="1:34" x14ac:dyDescent="0.3">
      <c r="A33" s="5">
        <v>32</v>
      </c>
      <c r="B33" s="5" t="s">
        <v>61</v>
      </c>
      <c r="C33" s="6" t="s">
        <v>145</v>
      </c>
      <c r="D33" s="6" t="s">
        <v>151</v>
      </c>
      <c r="E33" s="7">
        <v>33300</v>
      </c>
      <c r="F33" s="7">
        <v>3900</v>
      </c>
      <c r="G33" s="7">
        <v>917122715.4822433</v>
      </c>
      <c r="H33" s="7">
        <v>30</v>
      </c>
      <c r="I33" s="7">
        <v>10</v>
      </c>
      <c r="J33" s="7">
        <v>0</v>
      </c>
      <c r="K33" s="7">
        <v>0</v>
      </c>
      <c r="L33" s="7">
        <v>0</v>
      </c>
      <c r="M33" s="7">
        <v>0</v>
      </c>
      <c r="N33" s="7">
        <v>409</v>
      </c>
      <c r="O33" s="7">
        <v>14800000</v>
      </c>
      <c r="P33" s="7">
        <v>0</v>
      </c>
      <c r="Q33" s="7">
        <v>26800000</v>
      </c>
      <c r="R33" s="7">
        <v>0</v>
      </c>
      <c r="S33" s="7">
        <v>0</v>
      </c>
      <c r="T33" s="7">
        <v>24322709.901823178</v>
      </c>
      <c r="U33" s="7">
        <v>0</v>
      </c>
      <c r="V33" s="7">
        <v>6809556436.8751297</v>
      </c>
      <c r="W33" s="7">
        <v>10247650423.896111</v>
      </c>
      <c r="X33" s="7">
        <v>0</v>
      </c>
      <c r="Y33" s="7">
        <v>0</v>
      </c>
      <c r="Z33" s="7">
        <v>0</v>
      </c>
      <c r="AA33" s="7">
        <v>10500000</v>
      </c>
      <c r="AB33" s="7">
        <v>0</v>
      </c>
      <c r="AC33" s="7">
        <v>290</v>
      </c>
      <c r="AD33" s="7">
        <v>990</v>
      </c>
      <c r="AE33" s="7">
        <v>0</v>
      </c>
      <c r="AF33" s="7">
        <v>410</v>
      </c>
      <c r="AG33" s="7">
        <v>0</v>
      </c>
      <c r="AH33" s="7">
        <v>0</v>
      </c>
    </row>
    <row r="34" spans="1:34" x14ac:dyDescent="0.3">
      <c r="A34" s="5">
        <v>33</v>
      </c>
      <c r="B34" s="5" t="s">
        <v>62</v>
      </c>
      <c r="C34" s="6" t="s">
        <v>147</v>
      </c>
      <c r="D34" s="6" t="s">
        <v>151</v>
      </c>
      <c r="E34" s="7">
        <v>5180000</v>
      </c>
      <c r="F34" s="7">
        <v>1260000</v>
      </c>
      <c r="G34" s="7">
        <v>233990612.06568393</v>
      </c>
      <c r="H34" s="7">
        <v>4180</v>
      </c>
      <c r="I34" s="7">
        <v>207000</v>
      </c>
      <c r="J34" s="7">
        <v>0</v>
      </c>
      <c r="K34" s="7">
        <v>0</v>
      </c>
      <c r="L34" s="7">
        <v>0</v>
      </c>
      <c r="M34" s="7">
        <v>0</v>
      </c>
      <c r="N34" s="7">
        <v>3000000</v>
      </c>
      <c r="O34" s="7">
        <v>7550000</v>
      </c>
      <c r="P34" s="7">
        <v>0</v>
      </c>
      <c r="Q34" s="7">
        <v>0</v>
      </c>
      <c r="R34" s="7">
        <v>0</v>
      </c>
      <c r="S34" s="7">
        <v>109937.50582536204</v>
      </c>
      <c r="T34" s="7">
        <v>4933747.9617458405</v>
      </c>
      <c r="U34" s="7">
        <v>0</v>
      </c>
      <c r="V34" s="7">
        <v>8979.9777282574596</v>
      </c>
      <c r="W34" s="7">
        <v>54100361.564073667</v>
      </c>
      <c r="X34" s="7">
        <v>0</v>
      </c>
      <c r="Y34" s="7">
        <v>0</v>
      </c>
      <c r="Z34" s="7">
        <v>0</v>
      </c>
      <c r="AA34" s="7">
        <v>0</v>
      </c>
      <c r="AB34" s="7">
        <v>29600000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</row>
    <row r="35" spans="1:34" x14ac:dyDescent="0.3">
      <c r="A35" s="5">
        <v>34</v>
      </c>
      <c r="B35" s="5" t="s">
        <v>63</v>
      </c>
      <c r="C35" s="6" t="s">
        <v>146</v>
      </c>
      <c r="D35" s="6" t="s">
        <v>146</v>
      </c>
      <c r="E35" s="7">
        <v>486000</v>
      </c>
      <c r="F35" s="7">
        <v>226000</v>
      </c>
      <c r="G35" s="7">
        <v>467141721.03652483</v>
      </c>
      <c r="H35" s="7">
        <v>10800</v>
      </c>
      <c r="I35" s="7">
        <v>141000</v>
      </c>
      <c r="J35" s="7">
        <v>0</v>
      </c>
      <c r="K35" s="7">
        <v>0</v>
      </c>
      <c r="L35" s="7">
        <v>0</v>
      </c>
      <c r="M35" s="7">
        <v>0</v>
      </c>
      <c r="N35" s="7">
        <v>4050000</v>
      </c>
      <c r="O35" s="7">
        <v>7030000</v>
      </c>
      <c r="P35" s="7">
        <v>21350000</v>
      </c>
      <c r="Q35" s="7">
        <v>0</v>
      </c>
      <c r="R35" s="7">
        <v>0</v>
      </c>
      <c r="S35" s="7">
        <v>0</v>
      </c>
      <c r="T35" s="7">
        <v>61252943.006175727</v>
      </c>
      <c r="U35" s="7">
        <v>0</v>
      </c>
      <c r="V35" s="7">
        <v>0</v>
      </c>
      <c r="W35" s="7">
        <v>5935169611.4400635</v>
      </c>
      <c r="X35" s="7">
        <v>49903885.940345965</v>
      </c>
      <c r="Y35" s="7">
        <v>588000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237200</v>
      </c>
    </row>
    <row r="36" spans="1:34" x14ac:dyDescent="0.3">
      <c r="A36" s="5">
        <v>35</v>
      </c>
      <c r="B36" s="5" t="s">
        <v>64</v>
      </c>
      <c r="C36" s="6" t="s">
        <v>146</v>
      </c>
      <c r="D36" s="6" t="s">
        <v>146</v>
      </c>
      <c r="E36" s="7">
        <v>627000</v>
      </c>
      <c r="F36" s="7">
        <v>330000</v>
      </c>
      <c r="G36" s="7">
        <v>2096296040.6093228</v>
      </c>
      <c r="H36" s="7">
        <v>12200</v>
      </c>
      <c r="I36" s="7">
        <v>243000</v>
      </c>
      <c r="J36" s="7">
        <v>33.333333333333336</v>
      </c>
      <c r="K36" s="7">
        <v>0</v>
      </c>
      <c r="L36" s="7">
        <v>0</v>
      </c>
      <c r="M36" s="7">
        <v>200</v>
      </c>
      <c r="N36" s="7">
        <v>5320000</v>
      </c>
      <c r="O36" s="7">
        <v>8470000</v>
      </c>
      <c r="P36" s="7">
        <v>27350000</v>
      </c>
      <c r="Q36" s="7">
        <v>0</v>
      </c>
      <c r="R36" s="7">
        <v>0</v>
      </c>
      <c r="S36" s="7">
        <v>0</v>
      </c>
      <c r="T36" s="7">
        <v>72922568.984648645</v>
      </c>
      <c r="U36" s="7">
        <v>0</v>
      </c>
      <c r="V36" s="7">
        <v>9936.7600353435118</v>
      </c>
      <c r="W36" s="7">
        <v>5338841144.5729456</v>
      </c>
      <c r="X36" s="7">
        <v>60211532.380249135</v>
      </c>
      <c r="Y36" s="7">
        <v>534000</v>
      </c>
      <c r="Z36" s="7">
        <v>0</v>
      </c>
      <c r="AA36" s="7">
        <v>0</v>
      </c>
      <c r="AB36" s="7">
        <v>48800</v>
      </c>
      <c r="AC36" s="7">
        <v>0</v>
      </c>
      <c r="AD36" s="7">
        <v>0</v>
      </c>
      <c r="AE36" s="7">
        <v>0</v>
      </c>
      <c r="AF36" s="7">
        <v>0</v>
      </c>
      <c r="AG36" s="7">
        <v>45400</v>
      </c>
      <c r="AH36" s="7">
        <v>232400</v>
      </c>
    </row>
    <row r="37" spans="1:34" x14ac:dyDescent="0.3">
      <c r="A37" s="5">
        <v>36</v>
      </c>
      <c r="B37" s="5" t="s">
        <v>65</v>
      </c>
      <c r="C37" s="6" t="s">
        <v>144</v>
      </c>
      <c r="D37" s="6" t="s">
        <v>151</v>
      </c>
      <c r="E37" s="7">
        <v>38200</v>
      </c>
      <c r="F37" s="7">
        <v>7400</v>
      </c>
      <c r="G37" s="7">
        <v>44345581.61464116</v>
      </c>
      <c r="H37" s="7">
        <v>155</v>
      </c>
      <c r="I37" s="7">
        <v>27</v>
      </c>
      <c r="J37" s="7">
        <v>0</v>
      </c>
      <c r="K37" s="7">
        <v>0</v>
      </c>
      <c r="L37" s="7">
        <v>0</v>
      </c>
      <c r="M37" s="7">
        <v>0</v>
      </c>
      <c r="N37" s="7">
        <v>10500</v>
      </c>
      <c r="O37" s="7">
        <v>13800</v>
      </c>
      <c r="P37" s="7">
        <v>0</v>
      </c>
      <c r="Q37" s="7">
        <v>0</v>
      </c>
      <c r="R37" s="7">
        <v>0</v>
      </c>
      <c r="S37" s="7">
        <v>0</v>
      </c>
      <c r="T37" s="7">
        <v>21934713.183826637</v>
      </c>
      <c r="U37" s="7">
        <v>347569992.32127964</v>
      </c>
      <c r="V37" s="7">
        <v>0</v>
      </c>
      <c r="W37" s="7">
        <v>5850967600</v>
      </c>
      <c r="X37" s="7">
        <v>0</v>
      </c>
      <c r="Y37" s="7">
        <v>402000</v>
      </c>
      <c r="Z37" s="7">
        <v>5900000</v>
      </c>
      <c r="AA37" s="7">
        <v>30400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</row>
    <row r="38" spans="1:34" x14ac:dyDescent="0.3">
      <c r="A38" s="5">
        <v>37</v>
      </c>
      <c r="B38" s="5" t="s">
        <v>66</v>
      </c>
      <c r="C38" s="6" t="s">
        <v>145</v>
      </c>
      <c r="D38" s="6" t="s">
        <v>151</v>
      </c>
      <c r="E38" s="7">
        <v>255000</v>
      </c>
      <c r="F38" s="7">
        <v>8800</v>
      </c>
      <c r="G38" s="7">
        <v>129563854.3992143</v>
      </c>
      <c r="H38" s="7">
        <v>1910</v>
      </c>
      <c r="I38" s="7">
        <v>32700</v>
      </c>
      <c r="J38" s="7">
        <v>0</v>
      </c>
      <c r="K38" s="7">
        <v>0</v>
      </c>
      <c r="L38" s="7">
        <v>0</v>
      </c>
      <c r="M38" s="7">
        <v>0</v>
      </c>
      <c r="N38" s="7">
        <v>47300</v>
      </c>
      <c r="O38" s="7">
        <v>473000</v>
      </c>
      <c r="P38" s="7">
        <v>0</v>
      </c>
      <c r="Q38" s="7">
        <v>10150000</v>
      </c>
      <c r="R38" s="7">
        <v>0</v>
      </c>
      <c r="S38" s="7">
        <v>0</v>
      </c>
      <c r="T38" s="7">
        <v>26113612.780120824</v>
      </c>
      <c r="U38" s="7">
        <v>0</v>
      </c>
      <c r="V38" s="7">
        <v>453828457.24036658</v>
      </c>
      <c r="W38" s="7">
        <v>8854387719.2714615</v>
      </c>
      <c r="X38" s="7">
        <v>0</v>
      </c>
      <c r="Y38" s="7">
        <v>0</v>
      </c>
      <c r="Z38" s="7">
        <v>0</v>
      </c>
      <c r="AA38" s="7">
        <v>1150000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</row>
    <row r="39" spans="1:34" x14ac:dyDescent="0.3">
      <c r="A39" s="5">
        <v>38</v>
      </c>
      <c r="B39" s="5" t="s">
        <v>67</v>
      </c>
      <c r="C39" s="6" t="s">
        <v>147</v>
      </c>
      <c r="D39" s="6" t="s">
        <v>151</v>
      </c>
      <c r="E39" s="7">
        <v>1910000</v>
      </c>
      <c r="F39" s="7">
        <v>330000</v>
      </c>
      <c r="G39" s="7">
        <v>25141313.664325498</v>
      </c>
      <c r="H39" s="7">
        <v>70</v>
      </c>
      <c r="I39" s="7">
        <v>4360</v>
      </c>
      <c r="J39" s="7">
        <v>0</v>
      </c>
      <c r="K39" s="7">
        <v>0</v>
      </c>
      <c r="L39" s="7">
        <v>0</v>
      </c>
      <c r="M39" s="7">
        <v>0</v>
      </c>
      <c r="N39" s="7">
        <v>11200000</v>
      </c>
      <c r="O39" s="7">
        <v>12300000</v>
      </c>
      <c r="P39" s="7">
        <v>0</v>
      </c>
      <c r="Q39" s="7">
        <v>0</v>
      </c>
      <c r="R39" s="7">
        <v>0</v>
      </c>
      <c r="S39" s="7">
        <v>0</v>
      </c>
      <c r="T39" s="7">
        <v>15778908.580987513</v>
      </c>
      <c r="U39" s="7">
        <v>0</v>
      </c>
      <c r="V39" s="7">
        <v>0</v>
      </c>
      <c r="W39" s="7">
        <v>24943474.398054495</v>
      </c>
      <c r="X39" s="7">
        <v>0</v>
      </c>
      <c r="Y39" s="7">
        <v>0</v>
      </c>
      <c r="Z39" s="7">
        <v>0</v>
      </c>
      <c r="AA39" s="7">
        <v>0</v>
      </c>
      <c r="AB39" s="7">
        <v>1000000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</row>
    <row r="40" spans="1:34" x14ac:dyDescent="0.3">
      <c r="A40" s="5">
        <v>39</v>
      </c>
      <c r="B40" s="5" t="s">
        <v>68</v>
      </c>
      <c r="C40" s="6" t="s">
        <v>146</v>
      </c>
      <c r="D40" s="6" t="s">
        <v>146</v>
      </c>
      <c r="E40" s="7">
        <v>203000</v>
      </c>
      <c r="F40" s="7">
        <v>84500</v>
      </c>
      <c r="G40" s="7">
        <v>1150929118.015892</v>
      </c>
      <c r="H40" s="7">
        <v>7840</v>
      </c>
      <c r="I40" s="7">
        <v>636000</v>
      </c>
      <c r="J40" s="7">
        <v>3450</v>
      </c>
      <c r="K40" s="7">
        <v>0</v>
      </c>
      <c r="L40" s="7">
        <v>100</v>
      </c>
      <c r="M40" s="7">
        <v>220</v>
      </c>
      <c r="N40" s="7">
        <v>4450000</v>
      </c>
      <c r="O40" s="7">
        <v>5770000</v>
      </c>
      <c r="P40" s="7">
        <v>20500000</v>
      </c>
      <c r="Q40" s="7">
        <v>0</v>
      </c>
      <c r="R40" s="7">
        <v>0</v>
      </c>
      <c r="S40" s="7">
        <v>0</v>
      </c>
      <c r="T40" s="7">
        <v>16191868.197027106</v>
      </c>
      <c r="U40" s="7">
        <v>0</v>
      </c>
      <c r="V40" s="7">
        <v>0</v>
      </c>
      <c r="W40" s="7">
        <v>2341681054.6921201</v>
      </c>
      <c r="X40" s="7">
        <v>23977415.117895924</v>
      </c>
      <c r="Y40" s="7">
        <v>748000</v>
      </c>
      <c r="Z40" s="7">
        <v>0</v>
      </c>
      <c r="AA40" s="7">
        <v>0</v>
      </c>
      <c r="AB40" s="7">
        <v>0</v>
      </c>
      <c r="AC40" s="7">
        <v>180</v>
      </c>
      <c r="AD40" s="7">
        <v>400</v>
      </c>
      <c r="AE40" s="7">
        <v>0</v>
      </c>
      <c r="AF40" s="7">
        <v>160</v>
      </c>
      <c r="AG40" s="7">
        <v>67500</v>
      </c>
      <c r="AH40" s="7">
        <v>43200</v>
      </c>
    </row>
    <row r="41" spans="1:34" x14ac:dyDescent="0.3">
      <c r="A41" s="5">
        <v>40</v>
      </c>
      <c r="B41" s="5" t="s">
        <v>69</v>
      </c>
      <c r="C41" s="6" t="s">
        <v>146</v>
      </c>
      <c r="D41" s="6" t="s">
        <v>146</v>
      </c>
      <c r="E41" s="7">
        <v>491000</v>
      </c>
      <c r="F41" s="7">
        <v>135000</v>
      </c>
      <c r="G41" s="7">
        <v>2237085414.5401874</v>
      </c>
      <c r="H41" s="7">
        <v>6560</v>
      </c>
      <c r="I41" s="7">
        <v>131000</v>
      </c>
      <c r="J41" s="7">
        <v>7659.090909090909</v>
      </c>
      <c r="K41" s="7">
        <v>0</v>
      </c>
      <c r="L41" s="7">
        <v>5</v>
      </c>
      <c r="M41" s="7">
        <v>145</v>
      </c>
      <c r="N41" s="7">
        <v>2180000</v>
      </c>
      <c r="O41" s="7">
        <v>3910000</v>
      </c>
      <c r="P41" s="7">
        <v>8650000</v>
      </c>
      <c r="Q41" s="7">
        <v>0</v>
      </c>
      <c r="R41" s="7">
        <v>0</v>
      </c>
      <c r="S41" s="7">
        <v>0</v>
      </c>
      <c r="T41" s="7">
        <v>92011468.055654109</v>
      </c>
      <c r="U41" s="7">
        <v>0</v>
      </c>
      <c r="V41" s="7">
        <v>13623.039308465641</v>
      </c>
      <c r="W41" s="7">
        <v>1913209451.2543974</v>
      </c>
      <c r="X41" s="7">
        <v>37454404.39176783</v>
      </c>
      <c r="Y41" s="7">
        <v>894000</v>
      </c>
      <c r="Z41" s="7">
        <v>0</v>
      </c>
      <c r="AA41" s="7">
        <v>22200</v>
      </c>
      <c r="AB41" s="7">
        <v>19200</v>
      </c>
      <c r="AC41" s="7">
        <v>260</v>
      </c>
      <c r="AD41" s="7">
        <v>770</v>
      </c>
      <c r="AE41" s="7">
        <v>0</v>
      </c>
      <c r="AF41" s="7">
        <v>330</v>
      </c>
      <c r="AG41" s="7">
        <v>71300</v>
      </c>
      <c r="AH41" s="7">
        <v>61200</v>
      </c>
    </row>
    <row r="42" spans="1:34" x14ac:dyDescent="0.3">
      <c r="A42" s="5">
        <v>41</v>
      </c>
      <c r="B42" s="5" t="s">
        <v>70</v>
      </c>
      <c r="C42" s="6" t="s">
        <v>148</v>
      </c>
      <c r="D42" s="6" t="s">
        <v>151</v>
      </c>
      <c r="E42" s="7">
        <v>290000</v>
      </c>
      <c r="F42" s="7">
        <v>29000</v>
      </c>
      <c r="G42" s="7">
        <v>1628625.854148214</v>
      </c>
      <c r="H42" s="7">
        <v>10</v>
      </c>
      <c r="I42" s="7">
        <v>315000</v>
      </c>
      <c r="J42" s="7">
        <v>0</v>
      </c>
      <c r="K42" s="7">
        <v>0</v>
      </c>
      <c r="L42" s="7">
        <v>0</v>
      </c>
      <c r="M42" s="7">
        <v>0</v>
      </c>
      <c r="N42" s="7">
        <v>327000</v>
      </c>
      <c r="O42" s="7">
        <v>11100000</v>
      </c>
      <c r="P42" s="7">
        <v>0</v>
      </c>
      <c r="Q42" s="7">
        <v>0</v>
      </c>
      <c r="R42" s="7">
        <v>0</v>
      </c>
      <c r="S42" s="7">
        <v>0</v>
      </c>
      <c r="T42" s="7">
        <v>23247537.663386051</v>
      </c>
      <c r="U42" s="7">
        <v>0</v>
      </c>
      <c r="V42" s="7">
        <v>0</v>
      </c>
      <c r="W42" s="7">
        <v>6548774252.5001125</v>
      </c>
      <c r="X42" s="7">
        <v>0</v>
      </c>
      <c r="Y42" s="7">
        <v>784000</v>
      </c>
      <c r="Z42" s="7">
        <v>0</v>
      </c>
      <c r="AA42" s="7">
        <v>17300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4" x14ac:dyDescent="0.3">
      <c r="A43" s="5">
        <v>42</v>
      </c>
      <c r="B43" s="5" t="s">
        <v>71</v>
      </c>
      <c r="C43" s="6" t="s">
        <v>144</v>
      </c>
      <c r="D43" s="6" t="s">
        <v>151</v>
      </c>
      <c r="E43" s="7">
        <v>9090000</v>
      </c>
      <c r="F43" s="7">
        <v>8100</v>
      </c>
      <c r="G43" s="7">
        <v>34514780.444070622</v>
      </c>
      <c r="H43" s="7">
        <v>10</v>
      </c>
      <c r="I43" s="7">
        <v>5640</v>
      </c>
      <c r="J43" s="7">
        <v>0</v>
      </c>
      <c r="K43" s="7">
        <v>0</v>
      </c>
      <c r="L43" s="7">
        <v>0</v>
      </c>
      <c r="M43" s="7">
        <v>0</v>
      </c>
      <c r="N43" s="7">
        <v>54500</v>
      </c>
      <c r="O43" s="7">
        <v>1650000</v>
      </c>
      <c r="P43" s="7">
        <v>54500000</v>
      </c>
      <c r="Q43" s="7">
        <v>0</v>
      </c>
      <c r="R43" s="7">
        <v>0</v>
      </c>
      <c r="S43" s="7">
        <v>0</v>
      </c>
      <c r="T43" s="7">
        <v>322115749.71475077</v>
      </c>
      <c r="U43" s="7">
        <v>548896190.93953335</v>
      </c>
      <c r="V43" s="7">
        <v>0</v>
      </c>
      <c r="W43" s="7">
        <v>5580049966.6704664</v>
      </c>
      <c r="X43" s="7">
        <v>0</v>
      </c>
      <c r="Y43" s="7">
        <v>450000</v>
      </c>
      <c r="Z43" s="7">
        <v>9120000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</row>
    <row r="44" spans="1:34" x14ac:dyDescent="0.3">
      <c r="A44" s="5">
        <v>43</v>
      </c>
      <c r="B44" s="5" t="s">
        <v>72</v>
      </c>
      <c r="C44" s="6" t="s">
        <v>145</v>
      </c>
      <c r="D44" s="6" t="s">
        <v>151</v>
      </c>
      <c r="E44" s="7">
        <v>4000000</v>
      </c>
      <c r="F44" s="7">
        <v>2430000</v>
      </c>
      <c r="G44" s="7">
        <v>13283357.802694317</v>
      </c>
      <c r="H44" s="7">
        <v>10</v>
      </c>
      <c r="I44" s="7">
        <v>564000</v>
      </c>
      <c r="J44" s="7">
        <v>0</v>
      </c>
      <c r="K44" s="7">
        <v>0</v>
      </c>
      <c r="L44" s="7">
        <v>0</v>
      </c>
      <c r="M44" s="7">
        <v>0</v>
      </c>
      <c r="N44" s="7">
        <v>3690000</v>
      </c>
      <c r="O44" s="7">
        <v>3690000</v>
      </c>
      <c r="P44" s="7">
        <v>2095289.1301662601</v>
      </c>
      <c r="Q44" s="7">
        <v>0</v>
      </c>
      <c r="R44" s="7">
        <v>1760000</v>
      </c>
      <c r="S44" s="7">
        <v>0</v>
      </c>
      <c r="T44" s="7">
        <v>35835375.534120768</v>
      </c>
      <c r="U44" s="7">
        <v>0</v>
      </c>
      <c r="V44" s="7">
        <v>1172806034.1142724</v>
      </c>
      <c r="W44" s="7">
        <v>19947197915.15398</v>
      </c>
      <c r="X44" s="7">
        <v>0</v>
      </c>
      <c r="Y44" s="7">
        <v>0</v>
      </c>
      <c r="Z44" s="7">
        <v>0</v>
      </c>
      <c r="AA44" s="7">
        <v>1020000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</row>
    <row r="45" spans="1:34" x14ac:dyDescent="0.3">
      <c r="A45" s="5">
        <v>44</v>
      </c>
      <c r="B45" s="5" t="s">
        <v>73</v>
      </c>
      <c r="C45" s="6" t="s">
        <v>146</v>
      </c>
      <c r="D45" s="6" t="s">
        <v>146</v>
      </c>
      <c r="E45" s="7">
        <v>198000</v>
      </c>
      <c r="F45" s="7">
        <v>46000</v>
      </c>
      <c r="G45" s="7">
        <v>670421546.65162718</v>
      </c>
      <c r="H45" s="7">
        <v>2620</v>
      </c>
      <c r="I45" s="7">
        <v>245000</v>
      </c>
      <c r="J45" s="7">
        <v>440.90909090909088</v>
      </c>
      <c r="K45" s="7">
        <v>0</v>
      </c>
      <c r="L45" s="7">
        <v>0</v>
      </c>
      <c r="M45" s="7">
        <v>0</v>
      </c>
      <c r="N45" s="7">
        <v>360000</v>
      </c>
      <c r="O45" s="7">
        <v>1570000</v>
      </c>
      <c r="P45" s="7">
        <v>1268851.9749404001</v>
      </c>
      <c r="Q45" s="7">
        <v>0</v>
      </c>
      <c r="R45" s="7">
        <v>0</v>
      </c>
      <c r="S45" s="7">
        <v>0</v>
      </c>
      <c r="T45" s="7">
        <v>44924883.543795675</v>
      </c>
      <c r="U45" s="7">
        <v>0</v>
      </c>
      <c r="V45" s="7">
        <v>0</v>
      </c>
      <c r="W45" s="7">
        <v>1330745212.2237892</v>
      </c>
      <c r="X45" s="7">
        <v>24681204.831024636</v>
      </c>
      <c r="Y45" s="7">
        <v>1690000</v>
      </c>
      <c r="Z45" s="7">
        <v>0</v>
      </c>
      <c r="AA45" s="7">
        <v>0</v>
      </c>
      <c r="AB45" s="7">
        <v>0</v>
      </c>
      <c r="AC45" s="7">
        <v>140</v>
      </c>
      <c r="AD45" s="7">
        <v>540</v>
      </c>
      <c r="AE45" s="7">
        <v>0</v>
      </c>
      <c r="AF45" s="7">
        <v>210</v>
      </c>
      <c r="AG45" s="7">
        <v>19700</v>
      </c>
      <c r="AH45" s="7">
        <v>11200</v>
      </c>
    </row>
    <row r="46" spans="1:34" x14ac:dyDescent="0.3">
      <c r="A46" s="5">
        <v>45</v>
      </c>
      <c r="B46" s="5" t="s">
        <v>74</v>
      </c>
      <c r="C46" s="6" t="s">
        <v>146</v>
      </c>
      <c r="D46" s="6" t="s">
        <v>146</v>
      </c>
      <c r="E46" s="7">
        <v>327000</v>
      </c>
      <c r="F46" s="7">
        <v>92700</v>
      </c>
      <c r="G46" s="7">
        <v>537771501.40739739</v>
      </c>
      <c r="H46" s="7">
        <v>7570</v>
      </c>
      <c r="I46" s="7">
        <v>418000</v>
      </c>
      <c r="J46" s="7">
        <v>2472.7272727272725</v>
      </c>
      <c r="K46" s="7">
        <v>0</v>
      </c>
      <c r="L46" s="7">
        <v>0</v>
      </c>
      <c r="M46" s="7">
        <v>5</v>
      </c>
      <c r="N46" s="7">
        <v>2820000</v>
      </c>
      <c r="O46" s="7">
        <v>4640000</v>
      </c>
      <c r="P46" s="7">
        <v>1129533.0945774601</v>
      </c>
      <c r="Q46" s="7">
        <v>0</v>
      </c>
      <c r="R46" s="7">
        <v>0</v>
      </c>
      <c r="S46" s="7">
        <v>0</v>
      </c>
      <c r="T46" s="7">
        <v>173273425.0185807</v>
      </c>
      <c r="U46" s="7">
        <v>0</v>
      </c>
      <c r="V46" s="7">
        <v>0</v>
      </c>
      <c r="W46" s="7">
        <v>3215549866.1815114</v>
      </c>
      <c r="X46" s="7">
        <v>24771886.621434502</v>
      </c>
      <c r="Y46" s="7">
        <v>176000</v>
      </c>
      <c r="Z46" s="7">
        <v>0</v>
      </c>
      <c r="AA46" s="7">
        <v>0</v>
      </c>
      <c r="AB46" s="7">
        <v>0</v>
      </c>
      <c r="AC46" s="7">
        <v>260</v>
      </c>
      <c r="AD46" s="7">
        <v>520</v>
      </c>
      <c r="AE46" s="7">
        <v>0</v>
      </c>
      <c r="AF46" s="7">
        <v>290</v>
      </c>
      <c r="AG46" s="7">
        <v>787000</v>
      </c>
      <c r="AH46" s="7">
        <v>25200</v>
      </c>
    </row>
    <row r="47" spans="1:34" x14ac:dyDescent="0.3">
      <c r="A47" s="5">
        <v>46</v>
      </c>
      <c r="B47" s="5" t="s">
        <v>75</v>
      </c>
      <c r="C47" s="6" t="s">
        <v>144</v>
      </c>
      <c r="D47" s="6" t="s">
        <v>151</v>
      </c>
      <c r="E47" s="7">
        <v>739000</v>
      </c>
      <c r="F47" s="7">
        <v>373000</v>
      </c>
      <c r="G47" s="7">
        <v>33185446.251572389</v>
      </c>
      <c r="H47" s="7">
        <v>10</v>
      </c>
      <c r="I47" s="7">
        <v>10</v>
      </c>
      <c r="J47" s="7">
        <v>0</v>
      </c>
      <c r="K47" s="7">
        <v>0</v>
      </c>
      <c r="L47" s="7">
        <v>0</v>
      </c>
      <c r="M47" s="7">
        <v>0</v>
      </c>
      <c r="N47" s="7">
        <v>500000</v>
      </c>
      <c r="O47" s="7">
        <v>514000</v>
      </c>
      <c r="P47" s="7">
        <v>12436808.8666503</v>
      </c>
      <c r="Q47" s="7">
        <v>3067.3261700889102</v>
      </c>
      <c r="R47" s="7">
        <v>0</v>
      </c>
      <c r="S47" s="7">
        <v>0</v>
      </c>
      <c r="T47" s="7">
        <v>160351106.0825884</v>
      </c>
      <c r="U47" s="7">
        <v>846024298.4018122</v>
      </c>
      <c r="V47" s="7">
        <v>0</v>
      </c>
      <c r="W47" s="7">
        <v>5075115075.9202547</v>
      </c>
      <c r="X47" s="7">
        <v>0</v>
      </c>
      <c r="Y47" s="7">
        <v>0</v>
      </c>
      <c r="Z47" s="7">
        <v>790000</v>
      </c>
      <c r="AA47" s="7">
        <v>17100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</row>
    <row r="48" spans="1:34" x14ac:dyDescent="0.3">
      <c r="A48" s="5">
        <v>47</v>
      </c>
      <c r="B48" s="5" t="s">
        <v>76</v>
      </c>
      <c r="C48" s="6" t="s">
        <v>145</v>
      </c>
      <c r="D48" s="6" t="s">
        <v>151</v>
      </c>
      <c r="E48" s="7">
        <v>1520000</v>
      </c>
      <c r="F48" s="7">
        <v>29000</v>
      </c>
      <c r="G48" s="7">
        <v>1074518.1614100342</v>
      </c>
      <c r="H48" s="7">
        <v>3450</v>
      </c>
      <c r="I48" s="7">
        <v>10</v>
      </c>
      <c r="J48" s="7">
        <v>0</v>
      </c>
      <c r="K48" s="7">
        <v>0</v>
      </c>
      <c r="L48" s="7">
        <v>0</v>
      </c>
      <c r="M48" s="7">
        <v>0</v>
      </c>
      <c r="N48" s="7">
        <v>236000</v>
      </c>
      <c r="O48" s="7">
        <v>423000</v>
      </c>
      <c r="P48" s="7">
        <v>1278109.1971108699</v>
      </c>
      <c r="Q48" s="7">
        <v>0</v>
      </c>
      <c r="R48" s="7">
        <v>0</v>
      </c>
      <c r="S48" s="7">
        <v>0</v>
      </c>
      <c r="T48" s="7">
        <v>93207736.176381797</v>
      </c>
      <c r="U48" s="7">
        <v>0</v>
      </c>
      <c r="V48" s="7">
        <v>219791352.83544528</v>
      </c>
      <c r="W48" s="7">
        <v>1756293450.5785255</v>
      </c>
      <c r="X48" s="7">
        <v>0</v>
      </c>
      <c r="Y48" s="7">
        <v>0</v>
      </c>
      <c r="Z48" s="7">
        <v>0</v>
      </c>
      <c r="AA48" s="7">
        <v>1090000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</row>
    <row r="49" spans="1:34" x14ac:dyDescent="0.3">
      <c r="A49" s="5">
        <v>48</v>
      </c>
      <c r="B49" s="5" t="s">
        <v>77</v>
      </c>
      <c r="C49" s="6" t="s">
        <v>148</v>
      </c>
      <c r="D49" s="6" t="s">
        <v>151</v>
      </c>
      <c r="E49" s="7">
        <v>3180000</v>
      </c>
      <c r="F49" s="7">
        <v>8380</v>
      </c>
      <c r="G49" s="7">
        <v>36392527.86625848</v>
      </c>
      <c r="H49" s="7">
        <v>10</v>
      </c>
      <c r="I49" s="7">
        <v>2270</v>
      </c>
      <c r="J49" s="7">
        <v>0</v>
      </c>
      <c r="K49" s="7">
        <v>0</v>
      </c>
      <c r="L49" s="7">
        <v>0</v>
      </c>
      <c r="M49" s="7">
        <v>0</v>
      </c>
      <c r="N49" s="7">
        <v>273000</v>
      </c>
      <c r="O49" s="7">
        <v>1080000</v>
      </c>
      <c r="P49" s="7">
        <v>0</v>
      </c>
      <c r="Q49" s="7">
        <v>0</v>
      </c>
      <c r="R49" s="7">
        <v>0</v>
      </c>
      <c r="S49" s="7">
        <v>0</v>
      </c>
      <c r="T49" s="7">
        <v>69699066.256363705</v>
      </c>
      <c r="U49" s="7">
        <v>0</v>
      </c>
      <c r="V49" s="7">
        <v>0</v>
      </c>
      <c r="W49" s="7">
        <v>4295704365.525671</v>
      </c>
      <c r="X49" s="7">
        <v>279.07619031368478</v>
      </c>
      <c r="Y49" s="7">
        <v>29800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</row>
    <row r="50" spans="1:34" x14ac:dyDescent="0.3">
      <c r="A50" s="5">
        <v>49</v>
      </c>
      <c r="B50" s="5" t="s">
        <v>78</v>
      </c>
      <c r="C50" s="6" t="s">
        <v>146</v>
      </c>
      <c r="D50" s="6" t="s">
        <v>146</v>
      </c>
      <c r="E50" s="7">
        <v>315000</v>
      </c>
      <c r="F50" s="7">
        <v>186000</v>
      </c>
      <c r="G50" s="7">
        <v>17174456.295603655</v>
      </c>
      <c r="H50" s="7">
        <v>20800</v>
      </c>
      <c r="I50" s="7">
        <v>26500</v>
      </c>
      <c r="J50" s="7">
        <v>495.45454545454538</v>
      </c>
      <c r="K50" s="7">
        <v>0</v>
      </c>
      <c r="L50" s="7">
        <v>0</v>
      </c>
      <c r="M50" s="7">
        <v>0</v>
      </c>
      <c r="N50" s="7">
        <v>2750000</v>
      </c>
      <c r="O50" s="7">
        <v>2750000</v>
      </c>
      <c r="P50" s="7">
        <v>33250000</v>
      </c>
      <c r="Q50" s="7">
        <v>0</v>
      </c>
      <c r="R50" s="7">
        <v>0</v>
      </c>
      <c r="S50" s="7">
        <v>0</v>
      </c>
      <c r="T50" s="7">
        <v>43497265.954598941</v>
      </c>
      <c r="U50" s="7">
        <v>0</v>
      </c>
      <c r="V50" s="7">
        <v>0</v>
      </c>
      <c r="W50" s="7">
        <v>35694910.651598498</v>
      </c>
      <c r="X50" s="7">
        <v>476043.79013363889</v>
      </c>
      <c r="Y50" s="7">
        <v>123000</v>
      </c>
      <c r="Z50" s="7">
        <v>0</v>
      </c>
      <c r="AA50" s="7">
        <v>0</v>
      </c>
      <c r="AB50" s="7">
        <v>0</v>
      </c>
      <c r="AC50" s="7">
        <v>310</v>
      </c>
      <c r="AD50" s="7">
        <v>280</v>
      </c>
      <c r="AE50" s="7">
        <v>0</v>
      </c>
      <c r="AF50" s="7">
        <v>110</v>
      </c>
      <c r="AG50" s="7">
        <v>202000</v>
      </c>
      <c r="AH50" s="7">
        <v>0</v>
      </c>
    </row>
    <row r="51" spans="1:34" x14ac:dyDescent="0.3">
      <c r="A51" s="5">
        <v>50</v>
      </c>
      <c r="B51" s="5" t="s">
        <v>79</v>
      </c>
      <c r="C51" s="6" t="s">
        <v>145</v>
      </c>
      <c r="D51" s="6" t="s">
        <v>151</v>
      </c>
      <c r="E51" s="7">
        <v>2530000</v>
      </c>
      <c r="F51" s="7">
        <v>900000</v>
      </c>
      <c r="G51" s="7">
        <v>1366055943.9920857</v>
      </c>
      <c r="H51" s="7">
        <v>2070000</v>
      </c>
      <c r="I51" s="7">
        <v>5700000</v>
      </c>
      <c r="J51" s="7">
        <v>0</v>
      </c>
      <c r="K51" s="7">
        <v>0</v>
      </c>
      <c r="L51" s="7">
        <v>895.45454545454538</v>
      </c>
      <c r="M51" s="7">
        <v>0</v>
      </c>
      <c r="N51" s="7">
        <v>300000</v>
      </c>
      <c r="O51" s="7">
        <v>8800000</v>
      </c>
      <c r="P51" s="7">
        <v>0</v>
      </c>
      <c r="Q51" s="7">
        <v>0</v>
      </c>
      <c r="R51" s="7">
        <v>0</v>
      </c>
      <c r="S51" s="7">
        <v>0</v>
      </c>
      <c r="T51" s="7">
        <v>62451368.565334558</v>
      </c>
      <c r="U51" s="7">
        <v>0</v>
      </c>
      <c r="V51" s="7">
        <v>6858996897.270154</v>
      </c>
      <c r="W51" s="7">
        <v>39066171632.915565</v>
      </c>
      <c r="X51" s="7">
        <v>0</v>
      </c>
      <c r="Y51" s="7">
        <v>43000</v>
      </c>
      <c r="Z51" s="7">
        <v>0</v>
      </c>
      <c r="AA51" s="7">
        <v>6580000</v>
      </c>
      <c r="AB51" s="7">
        <v>0</v>
      </c>
      <c r="AC51" s="7">
        <v>51</v>
      </c>
      <c r="AD51" s="7">
        <v>71</v>
      </c>
      <c r="AE51" s="7">
        <v>0</v>
      </c>
      <c r="AF51" s="7">
        <v>120</v>
      </c>
      <c r="AG51" s="7">
        <v>0</v>
      </c>
      <c r="AH51" s="7">
        <v>64800</v>
      </c>
    </row>
    <row r="52" spans="1:34" x14ac:dyDescent="0.3">
      <c r="A52" s="5">
        <v>51</v>
      </c>
      <c r="B52" s="5" t="s">
        <v>80</v>
      </c>
      <c r="C52" s="6" t="s">
        <v>144</v>
      </c>
      <c r="D52" s="6" t="s">
        <v>151</v>
      </c>
      <c r="E52" s="7">
        <v>9650000</v>
      </c>
      <c r="F52" s="7">
        <v>950000</v>
      </c>
      <c r="G52" s="7">
        <v>22093829850.340492</v>
      </c>
      <c r="H52" s="7">
        <v>271000</v>
      </c>
      <c r="I52" s="7">
        <v>2660000</v>
      </c>
      <c r="J52" s="7">
        <v>0</v>
      </c>
      <c r="K52" s="7">
        <v>0</v>
      </c>
      <c r="L52" s="7">
        <v>0</v>
      </c>
      <c r="M52" s="7">
        <v>0</v>
      </c>
      <c r="N52" s="7">
        <v>8500000</v>
      </c>
      <c r="O52" s="7">
        <v>13500000</v>
      </c>
      <c r="P52" s="7">
        <v>0</v>
      </c>
      <c r="Q52" s="7">
        <v>7300000</v>
      </c>
      <c r="R52" s="7">
        <v>0</v>
      </c>
      <c r="S52" s="7">
        <v>0</v>
      </c>
      <c r="T52" s="7">
        <v>474582762.4913497</v>
      </c>
      <c r="U52" s="7">
        <v>30991729328.775185</v>
      </c>
      <c r="V52" s="7">
        <v>0</v>
      </c>
      <c r="W52" s="7">
        <v>464222213342.65765</v>
      </c>
      <c r="X52" s="7">
        <v>20878.850543073488</v>
      </c>
      <c r="Y52" s="7">
        <v>0</v>
      </c>
      <c r="Z52" s="7">
        <v>143000000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1900</v>
      </c>
      <c r="AG52" s="7">
        <v>0</v>
      </c>
      <c r="AH52" s="7">
        <v>0</v>
      </c>
    </row>
    <row r="53" spans="1:34" x14ac:dyDescent="0.3">
      <c r="A53" s="5">
        <v>52</v>
      </c>
      <c r="B53" s="5" t="s">
        <v>81</v>
      </c>
      <c r="C53" s="6" t="s">
        <v>147</v>
      </c>
      <c r="D53" s="6" t="s">
        <v>151</v>
      </c>
      <c r="E53" s="7">
        <v>1770000</v>
      </c>
      <c r="F53" s="7">
        <v>550000</v>
      </c>
      <c r="G53" s="7">
        <v>9504333.1959714741</v>
      </c>
      <c r="H53" s="7">
        <v>70</v>
      </c>
      <c r="I53" s="7">
        <v>1900000</v>
      </c>
      <c r="J53" s="7">
        <v>0</v>
      </c>
      <c r="K53" s="7">
        <v>0</v>
      </c>
      <c r="L53" s="7">
        <v>90</v>
      </c>
      <c r="M53" s="7">
        <v>25000</v>
      </c>
      <c r="N53" s="7">
        <v>1050000</v>
      </c>
      <c r="O53" s="7">
        <v>17500000</v>
      </c>
      <c r="P53" s="7">
        <v>0</v>
      </c>
      <c r="Q53" s="7">
        <v>0</v>
      </c>
      <c r="R53" s="7">
        <v>0</v>
      </c>
      <c r="S53" s="7">
        <v>106461.56379354245</v>
      </c>
      <c r="T53" s="7">
        <v>31696912.42807835</v>
      </c>
      <c r="U53" s="7">
        <v>0</v>
      </c>
      <c r="V53" s="7">
        <v>0</v>
      </c>
      <c r="W53" s="7">
        <v>57043940.155043684</v>
      </c>
      <c r="X53" s="7">
        <v>2362352.509806172</v>
      </c>
      <c r="Y53" s="7">
        <v>0</v>
      </c>
      <c r="Z53" s="7">
        <v>0</v>
      </c>
      <c r="AA53" s="7">
        <v>205000</v>
      </c>
      <c r="AB53" s="7">
        <v>13500000</v>
      </c>
      <c r="AC53" s="7">
        <v>0</v>
      </c>
      <c r="AD53" s="7">
        <v>0</v>
      </c>
      <c r="AE53" s="7">
        <v>0</v>
      </c>
      <c r="AF53" s="7">
        <v>360</v>
      </c>
      <c r="AG53" s="7">
        <v>0</v>
      </c>
      <c r="AH53" s="7">
        <v>0</v>
      </c>
    </row>
    <row r="54" spans="1:34" x14ac:dyDescent="0.3">
      <c r="A54" s="5">
        <v>53</v>
      </c>
      <c r="B54" s="5" t="s">
        <v>82</v>
      </c>
      <c r="C54" s="6" t="s">
        <v>146</v>
      </c>
      <c r="D54" s="6" t="s">
        <v>146</v>
      </c>
      <c r="E54" s="7">
        <v>36500</v>
      </c>
      <c r="F54" s="7">
        <v>21000</v>
      </c>
      <c r="G54" s="7">
        <v>144206904.43666559</v>
      </c>
      <c r="H54" s="7">
        <v>505</v>
      </c>
      <c r="I54" s="7">
        <v>6150</v>
      </c>
      <c r="J54" s="7">
        <v>1625</v>
      </c>
      <c r="K54" s="7">
        <v>0</v>
      </c>
      <c r="L54" s="7">
        <v>0</v>
      </c>
      <c r="M54" s="7">
        <v>0</v>
      </c>
      <c r="N54" s="7">
        <v>80000</v>
      </c>
      <c r="O54" s="7">
        <v>420000</v>
      </c>
      <c r="P54" s="7">
        <v>14750000</v>
      </c>
      <c r="Q54" s="7">
        <v>0</v>
      </c>
      <c r="R54" s="7">
        <v>0</v>
      </c>
      <c r="S54" s="7">
        <v>0</v>
      </c>
      <c r="T54" s="7">
        <v>8324956.2527169939</v>
      </c>
      <c r="U54" s="7">
        <v>2886.6589684269948</v>
      </c>
      <c r="V54" s="7">
        <v>1693.2808390813379</v>
      </c>
      <c r="W54" s="7">
        <v>1112530364.8416624</v>
      </c>
      <c r="X54" s="7">
        <v>22842575.452824552</v>
      </c>
      <c r="Y54" s="7">
        <v>582000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54</v>
      </c>
      <c r="AG54" s="7">
        <v>0</v>
      </c>
      <c r="AH54" s="7">
        <v>12800</v>
      </c>
    </row>
    <row r="55" spans="1:34" x14ac:dyDescent="0.3">
      <c r="A55" s="5">
        <v>54</v>
      </c>
      <c r="B55" s="5" t="s">
        <v>83</v>
      </c>
      <c r="C55" s="6" t="s">
        <v>145</v>
      </c>
      <c r="D55" s="6" t="s">
        <v>151</v>
      </c>
      <c r="E55" s="7">
        <v>300000</v>
      </c>
      <c r="F55" s="7">
        <v>600000</v>
      </c>
      <c r="G55" s="7">
        <v>261114790.93028799</v>
      </c>
      <c r="H55" s="7">
        <v>13900</v>
      </c>
      <c r="I55" s="7">
        <v>255000</v>
      </c>
      <c r="J55" s="7">
        <v>0</v>
      </c>
      <c r="K55" s="7">
        <v>0</v>
      </c>
      <c r="L55" s="7">
        <v>240</v>
      </c>
      <c r="M55" s="7">
        <v>0</v>
      </c>
      <c r="N55" s="7">
        <v>75000</v>
      </c>
      <c r="O55" s="7">
        <v>570000</v>
      </c>
      <c r="P55" s="7">
        <v>0</v>
      </c>
      <c r="Q55" s="7">
        <v>0</v>
      </c>
      <c r="R55" s="7">
        <v>0</v>
      </c>
      <c r="S55" s="7">
        <v>0</v>
      </c>
      <c r="T55" s="7">
        <v>30100725.272836868</v>
      </c>
      <c r="U55" s="7">
        <v>0</v>
      </c>
      <c r="V55" s="7">
        <v>197268982.33824801</v>
      </c>
      <c r="W55" s="7">
        <v>27096872302.710419</v>
      </c>
      <c r="X55" s="7">
        <v>370.80668818132176</v>
      </c>
      <c r="Y55" s="7">
        <v>19600</v>
      </c>
      <c r="Z55" s="7">
        <v>0</v>
      </c>
      <c r="AA55" s="7">
        <v>574000</v>
      </c>
      <c r="AB55" s="7">
        <v>614000</v>
      </c>
      <c r="AC55" s="7">
        <v>0</v>
      </c>
      <c r="AD55" s="7">
        <v>0</v>
      </c>
      <c r="AE55" s="7">
        <v>0</v>
      </c>
      <c r="AF55" s="7">
        <v>170</v>
      </c>
      <c r="AG55" s="7">
        <v>0</v>
      </c>
      <c r="AH55" s="7">
        <v>45200</v>
      </c>
    </row>
    <row r="56" spans="1:34" x14ac:dyDescent="0.3">
      <c r="A56" s="5">
        <v>55</v>
      </c>
      <c r="B56" s="5" t="s">
        <v>84</v>
      </c>
      <c r="C56" s="6" t="s">
        <v>144</v>
      </c>
      <c r="D56" s="6" t="s">
        <v>151</v>
      </c>
      <c r="E56" s="7">
        <v>37500000</v>
      </c>
      <c r="F56" s="7">
        <v>2750000</v>
      </c>
      <c r="G56" s="7">
        <v>11670876073.621553</v>
      </c>
      <c r="H56" s="7">
        <v>25000</v>
      </c>
      <c r="I56" s="7">
        <v>1500000</v>
      </c>
      <c r="J56" s="7">
        <v>0</v>
      </c>
      <c r="K56" s="7">
        <v>0</v>
      </c>
      <c r="L56" s="7">
        <v>0</v>
      </c>
      <c r="M56" s="7">
        <v>0</v>
      </c>
      <c r="N56" s="7">
        <v>6500000</v>
      </c>
      <c r="O56" s="7">
        <v>9500000</v>
      </c>
      <c r="P56" s="7">
        <v>0</v>
      </c>
      <c r="Q56" s="7">
        <v>14900000</v>
      </c>
      <c r="R56" s="7">
        <v>0</v>
      </c>
      <c r="S56" s="7">
        <v>0</v>
      </c>
      <c r="T56" s="7">
        <v>345833420.3870427</v>
      </c>
      <c r="U56" s="7">
        <v>44204968265.963593</v>
      </c>
      <c r="V56" s="7">
        <v>0</v>
      </c>
      <c r="W56" s="7">
        <v>524357821103.40558</v>
      </c>
      <c r="X56" s="7">
        <v>0</v>
      </c>
      <c r="Y56" s="7">
        <v>64000</v>
      </c>
      <c r="Z56" s="7">
        <v>158000000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</row>
    <row r="57" spans="1:34" x14ac:dyDescent="0.3">
      <c r="A57" s="5">
        <v>56</v>
      </c>
      <c r="B57" s="5" t="s">
        <v>85</v>
      </c>
      <c r="C57" s="6" t="s">
        <v>147</v>
      </c>
      <c r="D57" s="6" t="s">
        <v>151</v>
      </c>
      <c r="E57" s="7">
        <v>5500000</v>
      </c>
      <c r="F57" s="7">
        <v>40000</v>
      </c>
      <c r="G57" s="7">
        <v>17859201.79851272</v>
      </c>
      <c r="H57" s="7">
        <v>288</v>
      </c>
      <c r="I57" s="7">
        <v>600000</v>
      </c>
      <c r="J57" s="7">
        <v>0</v>
      </c>
      <c r="K57" s="7">
        <v>20</v>
      </c>
      <c r="L57" s="7">
        <v>0</v>
      </c>
      <c r="M57" s="7">
        <v>0</v>
      </c>
      <c r="N57" s="7">
        <v>6000000</v>
      </c>
      <c r="O57" s="7">
        <v>29500000</v>
      </c>
      <c r="P57" s="7">
        <v>0</v>
      </c>
      <c r="Q57" s="7">
        <v>0</v>
      </c>
      <c r="R57" s="7">
        <v>0</v>
      </c>
      <c r="S57" s="7">
        <v>359283.39903712919</v>
      </c>
      <c r="T57" s="7">
        <v>38723264.262524545</v>
      </c>
      <c r="U57" s="7">
        <v>0</v>
      </c>
      <c r="V57" s="7">
        <v>0</v>
      </c>
      <c r="W57" s="7">
        <v>487796769.76790243</v>
      </c>
      <c r="X57" s="7">
        <v>2067764.2221777607</v>
      </c>
      <c r="Y57" s="7">
        <v>0</v>
      </c>
      <c r="Z57" s="7">
        <v>0</v>
      </c>
      <c r="AA57" s="7">
        <v>0</v>
      </c>
      <c r="AB57" s="7">
        <v>1800000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800</v>
      </c>
    </row>
    <row r="58" spans="1:34" x14ac:dyDescent="0.3">
      <c r="A58" s="5">
        <v>57</v>
      </c>
      <c r="B58" s="5" t="s">
        <v>86</v>
      </c>
      <c r="C58" s="6" t="s">
        <v>146</v>
      </c>
      <c r="D58" s="6" t="s">
        <v>146</v>
      </c>
      <c r="E58" s="7">
        <v>62500</v>
      </c>
      <c r="F58" s="7">
        <v>95000</v>
      </c>
      <c r="G58" s="7">
        <v>516162715.44250464</v>
      </c>
      <c r="H58" s="7">
        <v>887</v>
      </c>
      <c r="I58" s="7">
        <v>8100</v>
      </c>
      <c r="J58" s="7">
        <v>2331.8181818181815</v>
      </c>
      <c r="K58" s="7">
        <v>0</v>
      </c>
      <c r="L58" s="7">
        <v>0</v>
      </c>
      <c r="M58" s="7">
        <v>0</v>
      </c>
      <c r="N58" s="7">
        <v>3550000</v>
      </c>
      <c r="O58" s="7">
        <v>3550000</v>
      </c>
      <c r="P58" s="7">
        <v>52500000</v>
      </c>
      <c r="Q58" s="7">
        <v>0</v>
      </c>
      <c r="R58" s="7">
        <v>0</v>
      </c>
      <c r="S58" s="7">
        <v>0</v>
      </c>
      <c r="T58" s="7">
        <v>14984317.269993044</v>
      </c>
      <c r="U58" s="7">
        <v>0</v>
      </c>
      <c r="V58" s="7">
        <v>0</v>
      </c>
      <c r="W58" s="7">
        <v>670243207.41584253</v>
      </c>
      <c r="X58" s="7">
        <v>29455874.32032644</v>
      </c>
      <c r="Y58" s="7">
        <v>14600000</v>
      </c>
      <c r="Z58" s="7">
        <v>0</v>
      </c>
      <c r="AA58" s="7">
        <v>0</v>
      </c>
      <c r="AB58" s="7">
        <v>0</v>
      </c>
      <c r="AC58" s="7">
        <v>210</v>
      </c>
      <c r="AD58" s="7">
        <v>430</v>
      </c>
      <c r="AE58" s="7">
        <v>0</v>
      </c>
      <c r="AF58" s="7">
        <v>130</v>
      </c>
      <c r="AG58" s="7">
        <v>0</v>
      </c>
      <c r="AH58" s="7">
        <v>0</v>
      </c>
    </row>
    <row r="59" spans="1:34" x14ac:dyDescent="0.3">
      <c r="A59" s="5">
        <v>58</v>
      </c>
      <c r="B59" s="5" t="s">
        <v>87</v>
      </c>
      <c r="C59" s="6" t="s">
        <v>147</v>
      </c>
      <c r="D59" s="6" t="s">
        <v>151</v>
      </c>
      <c r="E59" s="7">
        <v>12200000</v>
      </c>
      <c r="F59" s="7">
        <v>550000</v>
      </c>
      <c r="G59" s="7">
        <v>183001545.08882159</v>
      </c>
      <c r="H59" s="7">
        <v>580000</v>
      </c>
      <c r="I59" s="7">
        <v>4000000</v>
      </c>
      <c r="J59" s="7">
        <v>385</v>
      </c>
      <c r="K59" s="7">
        <v>0</v>
      </c>
      <c r="L59" s="7">
        <v>0</v>
      </c>
      <c r="M59" s="7">
        <v>0</v>
      </c>
      <c r="N59" s="7">
        <v>3150000</v>
      </c>
      <c r="O59" s="7">
        <v>19500000</v>
      </c>
      <c r="P59" s="7">
        <v>0</v>
      </c>
      <c r="Q59" s="7">
        <v>0</v>
      </c>
      <c r="R59" s="7">
        <v>0</v>
      </c>
      <c r="S59" s="7">
        <v>14683.578688202033</v>
      </c>
      <c r="T59" s="7">
        <v>45215981.240516201</v>
      </c>
      <c r="U59" s="7">
        <v>0</v>
      </c>
      <c r="V59" s="7">
        <v>0</v>
      </c>
      <c r="W59" s="7">
        <v>70929945.357486352</v>
      </c>
      <c r="X59" s="7">
        <v>641009.67176478705</v>
      </c>
      <c r="Y59" s="7">
        <v>0</v>
      </c>
      <c r="Z59" s="7">
        <v>0</v>
      </c>
      <c r="AA59" s="7">
        <v>0</v>
      </c>
      <c r="AB59" s="7">
        <v>13700000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</row>
    <row r="60" spans="1:34" x14ac:dyDescent="0.3">
      <c r="A60" s="5">
        <v>59</v>
      </c>
      <c r="B60" s="5" t="s">
        <v>88</v>
      </c>
      <c r="C60" s="6" t="s">
        <v>145</v>
      </c>
      <c r="D60" s="6" t="s">
        <v>151</v>
      </c>
      <c r="E60" s="7">
        <v>60500000</v>
      </c>
      <c r="F60" s="7">
        <v>3750000</v>
      </c>
      <c r="G60" s="7">
        <v>86175786.309055522</v>
      </c>
      <c r="H60" s="7">
        <v>100000</v>
      </c>
      <c r="I60" s="7">
        <v>48500000</v>
      </c>
      <c r="J60" s="7">
        <v>0</v>
      </c>
      <c r="K60" s="7">
        <v>0</v>
      </c>
      <c r="L60" s="7">
        <v>2133.3333333333335</v>
      </c>
      <c r="M60" s="7">
        <v>0</v>
      </c>
      <c r="N60" s="7">
        <v>144000000</v>
      </c>
      <c r="O60" s="7">
        <v>590000000</v>
      </c>
      <c r="P60" s="7">
        <v>0</v>
      </c>
      <c r="Q60" s="7">
        <v>0</v>
      </c>
      <c r="R60" s="7">
        <v>0</v>
      </c>
      <c r="S60" s="7">
        <v>0</v>
      </c>
      <c r="T60" s="7">
        <v>41574492.834701002</v>
      </c>
      <c r="U60" s="7">
        <v>0</v>
      </c>
      <c r="V60" s="7">
        <v>12901325.208210202</v>
      </c>
      <c r="W60" s="7">
        <v>2383236748.0807981</v>
      </c>
      <c r="X60" s="7">
        <v>0</v>
      </c>
      <c r="Y60" s="7">
        <v>0</v>
      </c>
      <c r="Z60" s="7">
        <v>0</v>
      </c>
      <c r="AA60" s="7">
        <v>17600000</v>
      </c>
      <c r="AB60" s="7">
        <v>0</v>
      </c>
      <c r="AC60" s="7">
        <v>0</v>
      </c>
      <c r="AD60" s="7">
        <v>0</v>
      </c>
      <c r="AE60" s="7">
        <v>0</v>
      </c>
      <c r="AF60" s="7">
        <v>550</v>
      </c>
      <c r="AG60" s="7">
        <v>0</v>
      </c>
      <c r="AH60" s="7">
        <v>4400</v>
      </c>
    </row>
    <row r="61" spans="1:34" x14ac:dyDescent="0.3">
      <c r="A61" s="5">
        <v>60</v>
      </c>
      <c r="B61" s="5" t="s">
        <v>89</v>
      </c>
      <c r="C61" s="6" t="s">
        <v>144</v>
      </c>
      <c r="D61" s="6" t="s">
        <v>151</v>
      </c>
      <c r="E61" s="7">
        <v>12500000</v>
      </c>
      <c r="F61" s="7">
        <v>800000</v>
      </c>
      <c r="G61" s="7">
        <v>6482061716.3195839</v>
      </c>
      <c r="H61" s="7">
        <v>1840</v>
      </c>
      <c r="I61" s="7">
        <v>21500000</v>
      </c>
      <c r="J61" s="7">
        <v>0</v>
      </c>
      <c r="K61" s="7">
        <v>0</v>
      </c>
      <c r="L61" s="7">
        <v>0</v>
      </c>
      <c r="M61" s="7">
        <v>0</v>
      </c>
      <c r="N61" s="7">
        <v>27500000</v>
      </c>
      <c r="O61" s="7">
        <v>110000000</v>
      </c>
      <c r="P61" s="7">
        <v>0</v>
      </c>
      <c r="Q61" s="7">
        <v>10900000</v>
      </c>
      <c r="R61" s="7">
        <v>0</v>
      </c>
      <c r="S61" s="7">
        <v>0</v>
      </c>
      <c r="T61" s="7">
        <v>576052359.71084261</v>
      </c>
      <c r="U61" s="7">
        <v>42258998376.479462</v>
      </c>
      <c r="V61" s="7">
        <v>0</v>
      </c>
      <c r="W61" s="7">
        <v>539777084385.60126</v>
      </c>
      <c r="X61" s="7">
        <v>0</v>
      </c>
      <c r="Y61" s="7">
        <v>0</v>
      </c>
      <c r="Z61" s="7">
        <v>171000000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</row>
    <row r="62" spans="1:34" x14ac:dyDescent="0.3">
      <c r="A62" s="5">
        <v>61</v>
      </c>
      <c r="B62" s="5" t="s">
        <v>90</v>
      </c>
      <c r="C62" s="6" t="s">
        <v>146</v>
      </c>
      <c r="D62" s="6" t="s">
        <v>146</v>
      </c>
      <c r="E62" s="7">
        <v>445000</v>
      </c>
      <c r="F62" s="7">
        <v>24000</v>
      </c>
      <c r="G62" s="7">
        <v>9018890688.3694305</v>
      </c>
      <c r="H62" s="7">
        <v>11400</v>
      </c>
      <c r="I62" s="7">
        <v>3000</v>
      </c>
      <c r="J62" s="7">
        <v>6409.090909090909</v>
      </c>
      <c r="K62" s="7">
        <v>0</v>
      </c>
      <c r="L62" s="7">
        <v>0</v>
      </c>
      <c r="M62" s="7">
        <v>0</v>
      </c>
      <c r="N62" s="7">
        <v>1500000</v>
      </c>
      <c r="O62" s="7">
        <v>1700000</v>
      </c>
      <c r="P62" s="7">
        <v>37600000</v>
      </c>
      <c r="Q62" s="7">
        <v>0</v>
      </c>
      <c r="R62" s="7">
        <v>0</v>
      </c>
      <c r="S62" s="7">
        <v>0</v>
      </c>
      <c r="T62" s="7">
        <v>9596038.0197634175</v>
      </c>
      <c r="U62" s="7">
        <v>0</v>
      </c>
      <c r="V62" s="7">
        <v>0</v>
      </c>
      <c r="W62" s="7">
        <v>2396366748.0871735</v>
      </c>
      <c r="X62" s="7">
        <v>15071071.305348933</v>
      </c>
      <c r="Y62" s="7">
        <v>169000</v>
      </c>
      <c r="Z62" s="7">
        <v>446000</v>
      </c>
      <c r="AA62" s="7">
        <v>0</v>
      </c>
      <c r="AB62" s="7">
        <v>0</v>
      </c>
      <c r="AC62" s="7">
        <v>100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</row>
    <row r="63" spans="1:34" x14ac:dyDescent="0.3">
      <c r="A63" s="5">
        <v>62</v>
      </c>
      <c r="B63" s="5" t="s">
        <v>91</v>
      </c>
      <c r="C63" s="6" t="s">
        <v>146</v>
      </c>
      <c r="D63" s="6" t="s">
        <v>146</v>
      </c>
      <c r="E63" s="7">
        <v>165000</v>
      </c>
      <c r="F63" s="7">
        <v>42000</v>
      </c>
      <c r="G63" s="7">
        <v>3110903994.7701259</v>
      </c>
      <c r="H63" s="7">
        <v>4100</v>
      </c>
      <c r="I63" s="7">
        <v>3500</v>
      </c>
      <c r="J63" s="7">
        <v>1713.6363636363635</v>
      </c>
      <c r="K63" s="7">
        <v>0</v>
      </c>
      <c r="L63" s="7">
        <v>0</v>
      </c>
      <c r="M63" s="7">
        <v>0</v>
      </c>
      <c r="N63" s="7">
        <v>1100000</v>
      </c>
      <c r="O63" s="7">
        <v>1200000</v>
      </c>
      <c r="P63" s="7">
        <v>28100000</v>
      </c>
      <c r="Q63" s="7">
        <v>0</v>
      </c>
      <c r="R63" s="7">
        <v>0</v>
      </c>
      <c r="S63" s="7">
        <v>0</v>
      </c>
      <c r="T63" s="7">
        <v>17384089.930383287</v>
      </c>
      <c r="U63" s="7">
        <v>0</v>
      </c>
      <c r="V63" s="7">
        <v>0</v>
      </c>
      <c r="W63" s="7">
        <v>1216862044.6108589</v>
      </c>
      <c r="X63" s="7">
        <v>14310236.942441382</v>
      </c>
      <c r="Y63" s="7">
        <v>90000</v>
      </c>
      <c r="Z63" s="7">
        <v>0</v>
      </c>
      <c r="AA63" s="7">
        <v>0</v>
      </c>
      <c r="AB63" s="7">
        <v>0</v>
      </c>
      <c r="AC63" s="7">
        <v>69</v>
      </c>
      <c r="AD63" s="7">
        <v>0</v>
      </c>
      <c r="AE63" s="7">
        <v>0</v>
      </c>
      <c r="AF63" s="7">
        <v>0</v>
      </c>
      <c r="AG63" s="7">
        <v>0</v>
      </c>
      <c r="AH63" s="7">
        <v>16400</v>
      </c>
    </row>
    <row r="64" spans="1:34" x14ac:dyDescent="0.3">
      <c r="A64" s="5">
        <v>63</v>
      </c>
      <c r="B64" s="5" t="s">
        <v>92</v>
      </c>
      <c r="C64" s="6" t="s">
        <v>144</v>
      </c>
      <c r="D64" s="6" t="s">
        <v>151</v>
      </c>
      <c r="E64" s="7">
        <v>595000000</v>
      </c>
      <c r="F64" s="7">
        <v>57000000</v>
      </c>
      <c r="G64" s="7">
        <v>10189388677.119694</v>
      </c>
      <c r="H64" s="7">
        <v>239500</v>
      </c>
      <c r="I64" s="7">
        <v>49500000</v>
      </c>
      <c r="J64" s="7">
        <v>0</v>
      </c>
      <c r="K64" s="7">
        <v>0</v>
      </c>
      <c r="L64" s="7">
        <v>0</v>
      </c>
      <c r="M64" s="7">
        <v>0</v>
      </c>
      <c r="N64" s="7">
        <v>8500000</v>
      </c>
      <c r="O64" s="7">
        <v>11800000</v>
      </c>
      <c r="P64" s="7">
        <v>0</v>
      </c>
      <c r="Q64" s="7">
        <v>0</v>
      </c>
      <c r="R64" s="7">
        <v>0</v>
      </c>
      <c r="S64" s="7">
        <v>0</v>
      </c>
      <c r="T64" s="7">
        <v>108135168.16962105</v>
      </c>
      <c r="U64" s="7">
        <v>22380948952.926548</v>
      </c>
      <c r="V64" s="7">
        <v>0</v>
      </c>
      <c r="W64" s="7">
        <v>439409010501.15594</v>
      </c>
      <c r="X64" s="7">
        <v>0</v>
      </c>
      <c r="Y64" s="7">
        <v>0</v>
      </c>
      <c r="Z64" s="7">
        <v>66600000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</row>
    <row r="65" spans="1:34" x14ac:dyDescent="0.3">
      <c r="A65" s="5">
        <v>64</v>
      </c>
      <c r="B65" s="5" t="s">
        <v>93</v>
      </c>
      <c r="C65" s="6" t="s">
        <v>144</v>
      </c>
      <c r="D65" s="6" t="s">
        <v>151</v>
      </c>
      <c r="E65" s="7">
        <v>185000</v>
      </c>
      <c r="F65" s="7">
        <v>27000</v>
      </c>
      <c r="G65" s="7">
        <v>229796254.62274706</v>
      </c>
      <c r="H65" s="7">
        <v>1765</v>
      </c>
      <c r="I65" s="7">
        <v>52500</v>
      </c>
      <c r="J65" s="7">
        <v>0</v>
      </c>
      <c r="K65" s="7">
        <v>0</v>
      </c>
      <c r="L65" s="7">
        <v>0</v>
      </c>
      <c r="M65" s="7">
        <v>0</v>
      </c>
      <c r="N65" s="7">
        <v>6500000</v>
      </c>
      <c r="O65" s="7">
        <v>9500000</v>
      </c>
      <c r="P65" s="7">
        <v>0</v>
      </c>
      <c r="Q65" s="7">
        <v>12850000</v>
      </c>
      <c r="R65" s="7">
        <v>0</v>
      </c>
      <c r="S65" s="7">
        <v>0</v>
      </c>
      <c r="T65" s="7">
        <v>43779113.183444329</v>
      </c>
      <c r="U65" s="7">
        <v>265686875.07816416</v>
      </c>
      <c r="V65" s="7">
        <v>0</v>
      </c>
      <c r="W65" s="7">
        <v>2977297688.1022401</v>
      </c>
      <c r="X65" s="7">
        <v>0</v>
      </c>
      <c r="Y65" s="7">
        <v>0</v>
      </c>
      <c r="Z65" s="7">
        <v>2500000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</row>
    <row r="66" spans="1:34" x14ac:dyDescent="0.3">
      <c r="A66" s="5">
        <v>65</v>
      </c>
      <c r="B66" s="5" t="s">
        <v>94</v>
      </c>
      <c r="C66" s="6" t="s">
        <v>145</v>
      </c>
      <c r="D66" s="6" t="s">
        <v>151</v>
      </c>
      <c r="E66" s="7">
        <v>400000</v>
      </c>
      <c r="F66" s="7">
        <v>215000</v>
      </c>
      <c r="G66" s="7">
        <v>118254524.49546276</v>
      </c>
      <c r="H66" s="7">
        <v>315</v>
      </c>
      <c r="I66" s="7">
        <v>365000</v>
      </c>
      <c r="J66" s="7">
        <v>0</v>
      </c>
      <c r="K66" s="7">
        <v>0</v>
      </c>
      <c r="L66" s="7">
        <v>195.45454545454544</v>
      </c>
      <c r="M66" s="7">
        <v>0</v>
      </c>
      <c r="N66" s="7">
        <v>11500</v>
      </c>
      <c r="O66" s="7">
        <v>65000</v>
      </c>
      <c r="P66" s="7">
        <v>0</v>
      </c>
      <c r="Q66" s="7">
        <v>0</v>
      </c>
      <c r="R66" s="7">
        <v>0</v>
      </c>
      <c r="S66" s="7">
        <v>0</v>
      </c>
      <c r="T66" s="7">
        <v>24798588.378575128</v>
      </c>
      <c r="U66" s="7">
        <v>0</v>
      </c>
      <c r="V66" s="7">
        <v>5915359.9199372474</v>
      </c>
      <c r="W66" s="7">
        <v>7161998150.4890385</v>
      </c>
      <c r="X66" s="7">
        <v>0</v>
      </c>
      <c r="Y66" s="7">
        <v>150000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1100</v>
      </c>
      <c r="AG66" s="7">
        <v>0</v>
      </c>
      <c r="AH66" s="7">
        <v>22400</v>
      </c>
    </row>
    <row r="67" spans="1:34" x14ac:dyDescent="0.3">
      <c r="A67" s="5">
        <v>66</v>
      </c>
      <c r="B67" s="5" t="s">
        <v>95</v>
      </c>
      <c r="C67" s="6" t="s">
        <v>145</v>
      </c>
      <c r="D67" s="6" t="s">
        <v>151</v>
      </c>
      <c r="E67" s="7">
        <v>150000</v>
      </c>
      <c r="F67" s="7">
        <v>570000</v>
      </c>
      <c r="G67" s="7">
        <v>532970159.82538342</v>
      </c>
      <c r="H67" s="7">
        <v>910</v>
      </c>
      <c r="I67" s="7">
        <v>87000</v>
      </c>
      <c r="J67" s="7">
        <v>0</v>
      </c>
      <c r="K67" s="7">
        <v>0</v>
      </c>
      <c r="L67" s="7">
        <v>100</v>
      </c>
      <c r="M67" s="7">
        <v>0</v>
      </c>
      <c r="N67" s="7">
        <v>5000</v>
      </c>
      <c r="O67" s="7">
        <v>12500</v>
      </c>
      <c r="P67" s="7">
        <v>0</v>
      </c>
      <c r="Q67" s="7">
        <v>0</v>
      </c>
      <c r="R67" s="7">
        <v>0</v>
      </c>
      <c r="S67" s="7">
        <v>0</v>
      </c>
      <c r="T67" s="7">
        <v>17160975.053392589</v>
      </c>
      <c r="U67" s="7">
        <v>0</v>
      </c>
      <c r="V67" s="7">
        <v>5292318.744746957</v>
      </c>
      <c r="W67" s="7">
        <v>3940658001.1748557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250</v>
      </c>
      <c r="AG67" s="7">
        <v>0</v>
      </c>
      <c r="AH67" s="7">
        <v>2000</v>
      </c>
    </row>
    <row r="68" spans="1:34" x14ac:dyDescent="0.3">
      <c r="A68" s="5">
        <v>67</v>
      </c>
      <c r="B68" s="5" t="s">
        <v>96</v>
      </c>
      <c r="C68" s="6" t="s">
        <v>147</v>
      </c>
      <c r="D68" s="6" t="s">
        <v>151</v>
      </c>
      <c r="E68" s="7">
        <v>362500000</v>
      </c>
      <c r="F68" s="7">
        <v>51000000</v>
      </c>
      <c r="G68" s="7">
        <v>720835531.45536435</v>
      </c>
      <c r="H68" s="7">
        <v>12400</v>
      </c>
      <c r="I68" s="7">
        <v>770000000</v>
      </c>
      <c r="J68" s="7">
        <v>0</v>
      </c>
      <c r="K68" s="7">
        <v>0</v>
      </c>
      <c r="L68" s="7">
        <v>0</v>
      </c>
      <c r="M68" s="7">
        <v>80.952380952380949</v>
      </c>
      <c r="N68" s="7">
        <v>1050000</v>
      </c>
      <c r="O68" s="7">
        <v>17500000</v>
      </c>
      <c r="P68" s="7">
        <v>0</v>
      </c>
      <c r="Q68" s="7">
        <v>0</v>
      </c>
      <c r="R68" s="7">
        <v>0</v>
      </c>
      <c r="S68" s="7">
        <v>33052320.852907799</v>
      </c>
      <c r="T68" s="7">
        <v>96266894.049740851</v>
      </c>
      <c r="U68" s="7">
        <v>0</v>
      </c>
      <c r="V68" s="7">
        <v>0</v>
      </c>
      <c r="W68" s="7">
        <v>6665663641.2159748</v>
      </c>
      <c r="X68" s="7">
        <v>11249258.135160863</v>
      </c>
      <c r="Y68" s="7">
        <v>0</v>
      </c>
      <c r="Z68" s="7">
        <v>0</v>
      </c>
      <c r="AA68" s="7">
        <v>0</v>
      </c>
      <c r="AB68" s="7">
        <v>737000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</row>
    <row r="69" spans="1:34" x14ac:dyDescent="0.3">
      <c r="A69" s="5">
        <v>68</v>
      </c>
      <c r="B69" s="5" t="s">
        <v>97</v>
      </c>
      <c r="C69" s="6" t="s">
        <v>147</v>
      </c>
      <c r="D69" s="6" t="s">
        <v>151</v>
      </c>
      <c r="E69" s="7">
        <v>215000</v>
      </c>
      <c r="F69" s="7">
        <v>67500</v>
      </c>
      <c r="G69" s="7">
        <v>34506300</v>
      </c>
      <c r="H69" s="7">
        <v>125</v>
      </c>
      <c r="I69" s="7">
        <v>300000</v>
      </c>
      <c r="J69" s="7">
        <v>0</v>
      </c>
      <c r="K69" s="7">
        <v>0</v>
      </c>
      <c r="L69" s="7">
        <v>0</v>
      </c>
      <c r="M69" s="7">
        <v>0</v>
      </c>
      <c r="N69" s="7">
        <v>39500</v>
      </c>
      <c r="O69" s="7">
        <v>60000</v>
      </c>
      <c r="P69" s="7">
        <v>0</v>
      </c>
      <c r="Q69" s="7">
        <v>0</v>
      </c>
      <c r="R69" s="7">
        <v>0</v>
      </c>
      <c r="S69" s="7">
        <v>323059.08596648602</v>
      </c>
      <c r="T69" s="7">
        <v>1836588.920262781</v>
      </c>
      <c r="U69" s="7">
        <v>0</v>
      </c>
      <c r="V69" s="7">
        <v>0</v>
      </c>
      <c r="W69" s="7">
        <v>16089903.714913895</v>
      </c>
      <c r="X69" s="7">
        <v>307227.90812815167</v>
      </c>
      <c r="Y69" s="7">
        <v>0</v>
      </c>
      <c r="Z69" s="7">
        <v>0</v>
      </c>
      <c r="AA69" s="7">
        <v>0</v>
      </c>
      <c r="AB69" s="7">
        <v>3400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</row>
    <row r="70" spans="1:34" x14ac:dyDescent="0.3">
      <c r="A70" s="5">
        <v>69</v>
      </c>
      <c r="B70" s="5" t="s">
        <v>98</v>
      </c>
      <c r="C70" s="6" t="s">
        <v>146</v>
      </c>
      <c r="D70" s="6" t="s">
        <v>146</v>
      </c>
      <c r="E70" s="7">
        <v>44000</v>
      </c>
      <c r="F70" s="7">
        <v>9250</v>
      </c>
      <c r="G70" s="7">
        <v>17585594.216187295</v>
      </c>
      <c r="H70" s="7">
        <v>526</v>
      </c>
      <c r="I70" s="7">
        <v>1550</v>
      </c>
      <c r="J70" s="7">
        <v>32800</v>
      </c>
      <c r="K70" s="7">
        <v>0</v>
      </c>
      <c r="L70" s="7">
        <v>0</v>
      </c>
      <c r="M70" s="7">
        <v>0</v>
      </c>
      <c r="N70" s="7">
        <v>20000</v>
      </c>
      <c r="O70" s="7">
        <v>515000</v>
      </c>
      <c r="P70" s="7">
        <v>371430.83957256051</v>
      </c>
      <c r="Q70" s="7">
        <v>45901.825749549418</v>
      </c>
      <c r="R70" s="7">
        <v>285891.97178846097</v>
      </c>
      <c r="S70" s="7">
        <v>349576.28278218966</v>
      </c>
      <c r="T70" s="7">
        <v>6640594.4787906148</v>
      </c>
      <c r="U70" s="7">
        <v>0</v>
      </c>
      <c r="V70" s="7">
        <v>0</v>
      </c>
      <c r="W70" s="7">
        <v>5380303.1064058095</v>
      </c>
      <c r="X70" s="7">
        <v>311220.14022746019</v>
      </c>
      <c r="Y70" s="7">
        <v>18400</v>
      </c>
      <c r="Z70" s="7">
        <v>0</v>
      </c>
      <c r="AA70" s="7">
        <v>0</v>
      </c>
      <c r="AB70" s="7">
        <v>11900</v>
      </c>
      <c r="AC70" s="7">
        <v>95</v>
      </c>
      <c r="AD70" s="7">
        <v>320</v>
      </c>
      <c r="AE70" s="7">
        <v>0</v>
      </c>
      <c r="AF70" s="7">
        <v>87</v>
      </c>
      <c r="AG70" s="7">
        <v>0</v>
      </c>
      <c r="AH70" s="7">
        <v>18000</v>
      </c>
    </row>
    <row r="71" spans="1:34" x14ac:dyDescent="0.3">
      <c r="A71" s="5">
        <v>70</v>
      </c>
      <c r="B71" s="5" t="s">
        <v>99</v>
      </c>
      <c r="C71" s="6" t="s">
        <v>146</v>
      </c>
      <c r="D71" s="6" t="s">
        <v>146</v>
      </c>
      <c r="E71" s="7">
        <v>46500</v>
      </c>
      <c r="F71" s="7">
        <v>11000</v>
      </c>
      <c r="G71" s="7">
        <v>15002993.330532409</v>
      </c>
      <c r="H71" s="7">
        <v>505</v>
      </c>
      <c r="I71" s="7">
        <v>950</v>
      </c>
      <c r="J71" s="7">
        <v>26250</v>
      </c>
      <c r="K71" s="7">
        <v>0</v>
      </c>
      <c r="L71" s="7">
        <v>0</v>
      </c>
      <c r="M71" s="7">
        <v>0</v>
      </c>
      <c r="N71" s="7">
        <v>14500</v>
      </c>
      <c r="O71" s="7">
        <v>455000</v>
      </c>
      <c r="P71" s="7">
        <v>746362.75650062924</v>
      </c>
      <c r="Q71" s="7">
        <v>13351.066527959772</v>
      </c>
      <c r="R71" s="7">
        <v>232435.23302498518</v>
      </c>
      <c r="S71" s="7">
        <v>1638577.3977619479</v>
      </c>
      <c r="T71" s="7">
        <v>11061192.741606535</v>
      </c>
      <c r="U71" s="7">
        <v>0</v>
      </c>
      <c r="V71" s="7">
        <v>0</v>
      </c>
      <c r="W71" s="7">
        <v>5051916.6524003539</v>
      </c>
      <c r="X71" s="7">
        <v>941189.15196808334</v>
      </c>
      <c r="Y71" s="7">
        <v>84600</v>
      </c>
      <c r="Z71" s="7">
        <v>0</v>
      </c>
      <c r="AA71" s="7">
        <v>0</v>
      </c>
      <c r="AB71" s="7">
        <v>11500</v>
      </c>
      <c r="AC71" s="7">
        <v>59.000000000000007</v>
      </c>
      <c r="AD71" s="7">
        <v>190</v>
      </c>
      <c r="AE71" s="7">
        <v>0</v>
      </c>
      <c r="AF71" s="7">
        <v>0</v>
      </c>
      <c r="AG71" s="7">
        <v>0</v>
      </c>
      <c r="AH71" s="7">
        <v>14800</v>
      </c>
    </row>
    <row r="72" spans="1:34" x14ac:dyDescent="0.3">
      <c r="A72" s="5">
        <v>71</v>
      </c>
      <c r="B72" s="5" t="s">
        <v>100</v>
      </c>
      <c r="C72" s="6" t="s">
        <v>147</v>
      </c>
      <c r="D72" s="6" t="s">
        <v>151</v>
      </c>
      <c r="E72" s="7">
        <v>1670000</v>
      </c>
      <c r="F72" s="7">
        <v>17500</v>
      </c>
      <c r="G72" s="7">
        <v>17829057.238081884</v>
      </c>
      <c r="H72" s="7">
        <v>2000</v>
      </c>
      <c r="I72" s="7">
        <v>2270000</v>
      </c>
      <c r="J72" s="7">
        <v>365</v>
      </c>
      <c r="K72" s="7">
        <v>0</v>
      </c>
      <c r="L72" s="7">
        <v>0</v>
      </c>
      <c r="M72" s="7">
        <v>477.27272727272731</v>
      </c>
      <c r="N72" s="7">
        <v>0</v>
      </c>
      <c r="O72" s="7">
        <v>75000</v>
      </c>
      <c r="P72" s="7">
        <v>0</v>
      </c>
      <c r="Q72" s="7">
        <v>0</v>
      </c>
      <c r="R72" s="7">
        <v>0</v>
      </c>
      <c r="S72" s="7">
        <v>3162037.091316876</v>
      </c>
      <c r="T72" s="7">
        <v>17272172.232271187</v>
      </c>
      <c r="U72" s="7">
        <v>0</v>
      </c>
      <c r="V72" s="7">
        <v>0</v>
      </c>
      <c r="W72" s="7">
        <v>1889936867.842103</v>
      </c>
      <c r="X72" s="7">
        <v>923577.46163128072</v>
      </c>
      <c r="Y72" s="7">
        <v>45800</v>
      </c>
      <c r="Z72" s="7">
        <v>0</v>
      </c>
      <c r="AA72" s="7">
        <v>0</v>
      </c>
      <c r="AB72" s="7">
        <v>11400000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</row>
    <row r="73" spans="1:34" x14ac:dyDescent="0.3">
      <c r="A73" s="5">
        <v>72</v>
      </c>
      <c r="B73" s="5" t="s">
        <v>101</v>
      </c>
      <c r="C73" s="6" t="s">
        <v>146</v>
      </c>
      <c r="D73" s="6" t="s">
        <v>146</v>
      </c>
      <c r="E73" s="7">
        <v>615000</v>
      </c>
      <c r="F73" s="7">
        <v>95700</v>
      </c>
      <c r="G73" s="7">
        <v>1720191879.6622806</v>
      </c>
      <c r="H73" s="7">
        <v>33200</v>
      </c>
      <c r="I73" s="7">
        <v>63000</v>
      </c>
      <c r="J73" s="7">
        <v>4540</v>
      </c>
      <c r="K73" s="7">
        <v>0</v>
      </c>
      <c r="L73" s="7">
        <v>30</v>
      </c>
      <c r="M73" s="7">
        <v>0</v>
      </c>
      <c r="N73" s="7">
        <v>1100000</v>
      </c>
      <c r="O73" s="7">
        <v>1150000</v>
      </c>
      <c r="P73" s="7">
        <v>17750000</v>
      </c>
      <c r="Q73" s="7">
        <v>0</v>
      </c>
      <c r="R73" s="7">
        <v>0</v>
      </c>
      <c r="S73" s="7">
        <v>0</v>
      </c>
      <c r="T73" s="7">
        <v>93207736.176381797</v>
      </c>
      <c r="U73" s="7">
        <v>0</v>
      </c>
      <c r="V73" s="7">
        <v>31839.597987411838</v>
      </c>
      <c r="W73" s="7">
        <v>3194426109.3449373</v>
      </c>
      <c r="X73" s="7">
        <v>20736362.453615837</v>
      </c>
      <c r="Y73" s="7">
        <v>105000</v>
      </c>
      <c r="Z73" s="7">
        <v>0</v>
      </c>
      <c r="AA73" s="7">
        <v>0</v>
      </c>
      <c r="AB73" s="7">
        <v>26000</v>
      </c>
      <c r="AC73" s="7">
        <v>280</v>
      </c>
      <c r="AD73" s="7">
        <v>980</v>
      </c>
      <c r="AE73" s="7">
        <v>0</v>
      </c>
      <c r="AF73" s="7">
        <v>260</v>
      </c>
      <c r="AG73" s="7">
        <v>62800</v>
      </c>
      <c r="AH73" s="7">
        <v>13600</v>
      </c>
    </row>
    <row r="74" spans="1:34" x14ac:dyDescent="0.3">
      <c r="A74" s="5">
        <v>73</v>
      </c>
      <c r="B74" s="5" t="s">
        <v>102</v>
      </c>
      <c r="C74" s="6" t="s">
        <v>145</v>
      </c>
      <c r="D74" s="6" t="s">
        <v>151</v>
      </c>
      <c r="E74" s="7">
        <v>19450000</v>
      </c>
      <c r="F74" s="7">
        <v>20000</v>
      </c>
      <c r="G74" s="7">
        <v>123539668.46509609</v>
      </c>
      <c r="H74" s="7">
        <v>0</v>
      </c>
      <c r="I74" s="7">
        <v>110000</v>
      </c>
      <c r="J74" s="7">
        <v>0</v>
      </c>
      <c r="K74" s="7">
        <v>0</v>
      </c>
      <c r="L74" s="7">
        <v>0</v>
      </c>
      <c r="M74" s="7">
        <v>75</v>
      </c>
      <c r="N74" s="7">
        <v>12000000</v>
      </c>
      <c r="O74" s="7">
        <v>35500000</v>
      </c>
      <c r="P74" s="7">
        <v>0</v>
      </c>
      <c r="Q74" s="7">
        <v>0</v>
      </c>
      <c r="R74" s="7">
        <v>0</v>
      </c>
      <c r="S74" s="7">
        <v>0</v>
      </c>
      <c r="T74" s="7">
        <v>173273425.0185807</v>
      </c>
      <c r="U74" s="7">
        <v>0</v>
      </c>
      <c r="V74" s="7">
        <v>14632345808.300732</v>
      </c>
      <c r="W74" s="7">
        <v>69042143571.123993</v>
      </c>
      <c r="X74" s="7">
        <v>0</v>
      </c>
      <c r="Y74" s="7">
        <v>0</v>
      </c>
      <c r="Z74" s="7">
        <v>0</v>
      </c>
      <c r="AA74" s="7">
        <v>204000000</v>
      </c>
      <c r="AB74" s="7">
        <v>0</v>
      </c>
      <c r="AC74" s="7">
        <v>0</v>
      </c>
      <c r="AD74" s="7">
        <v>0</v>
      </c>
      <c r="AE74" s="7">
        <v>0</v>
      </c>
      <c r="AF74" s="7">
        <v>59</v>
      </c>
      <c r="AG74" s="7">
        <v>59000</v>
      </c>
      <c r="AH74" s="7">
        <v>15600</v>
      </c>
    </row>
    <row r="75" spans="1:34" x14ac:dyDescent="0.3">
      <c r="A75" s="5">
        <v>74</v>
      </c>
      <c r="B75" s="5" t="s">
        <v>103</v>
      </c>
      <c r="C75" s="6" t="s">
        <v>144</v>
      </c>
      <c r="D75" s="6" t="s">
        <v>151</v>
      </c>
      <c r="E75" s="7">
        <v>167000</v>
      </c>
      <c r="F75" s="7">
        <v>1155000</v>
      </c>
      <c r="G75" s="7">
        <v>707093754.65769422</v>
      </c>
      <c r="H75" s="7">
        <v>0</v>
      </c>
      <c r="I75" s="7">
        <v>500</v>
      </c>
      <c r="J75" s="7">
        <v>0</v>
      </c>
      <c r="K75" s="7">
        <v>0</v>
      </c>
      <c r="L75" s="7">
        <v>0</v>
      </c>
      <c r="M75" s="7">
        <v>0</v>
      </c>
      <c r="N75" s="7">
        <v>4100000</v>
      </c>
      <c r="O75" s="7">
        <v>5200000</v>
      </c>
      <c r="P75" s="7">
        <v>0</v>
      </c>
      <c r="Q75" s="7">
        <v>0</v>
      </c>
      <c r="R75" s="7">
        <v>0</v>
      </c>
      <c r="S75" s="7">
        <v>0</v>
      </c>
      <c r="T75" s="7">
        <v>997440412.00108635</v>
      </c>
      <c r="U75" s="7">
        <v>836738269.50697255</v>
      </c>
      <c r="V75" s="7">
        <v>0</v>
      </c>
      <c r="W75" s="7">
        <v>24482163672.423126</v>
      </c>
      <c r="X75" s="7">
        <v>0</v>
      </c>
      <c r="Y75" s="7">
        <v>1350000</v>
      </c>
      <c r="Z75" s="7">
        <v>38600000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 x14ac:dyDescent="0.3">
      <c r="A76" s="5">
        <v>75</v>
      </c>
      <c r="B76" s="5" t="s">
        <v>104</v>
      </c>
      <c r="C76" s="6" t="s">
        <v>147</v>
      </c>
      <c r="D76" s="6" t="s">
        <v>151</v>
      </c>
      <c r="E76" s="7">
        <v>10550000</v>
      </c>
      <c r="F76" s="7">
        <v>1450000</v>
      </c>
      <c r="G76" s="7">
        <v>759360</v>
      </c>
      <c r="H76" s="7">
        <v>0</v>
      </c>
      <c r="I76" s="7">
        <v>1010000</v>
      </c>
      <c r="J76" s="7">
        <v>0</v>
      </c>
      <c r="K76" s="7">
        <v>0</v>
      </c>
      <c r="L76" s="7">
        <v>0</v>
      </c>
      <c r="M76" s="7">
        <v>0</v>
      </c>
      <c r="N76" s="7">
        <v>20800000</v>
      </c>
      <c r="O76" s="7">
        <v>28000000</v>
      </c>
      <c r="P76" s="7">
        <v>0</v>
      </c>
      <c r="Q76" s="7">
        <v>0</v>
      </c>
      <c r="R76" s="7">
        <v>0</v>
      </c>
      <c r="S76" s="7">
        <v>7387.3293835377008</v>
      </c>
      <c r="T76" s="7">
        <v>487003362.71040225</v>
      </c>
      <c r="U76" s="7">
        <v>0</v>
      </c>
      <c r="V76" s="7">
        <v>0</v>
      </c>
      <c r="W76" s="7">
        <v>796165.28937149735</v>
      </c>
      <c r="X76" s="7">
        <v>0</v>
      </c>
      <c r="Y76" s="7">
        <v>1900000</v>
      </c>
      <c r="Z76" s="7">
        <v>0</v>
      </c>
      <c r="AA76" s="7">
        <v>0</v>
      </c>
      <c r="AB76" s="7">
        <v>118000000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</row>
    <row r="77" spans="1:34" x14ac:dyDescent="0.3">
      <c r="A77" s="5">
        <v>76</v>
      </c>
      <c r="B77" s="5" t="s">
        <v>105</v>
      </c>
      <c r="C77" s="6" t="s">
        <v>148</v>
      </c>
      <c r="D77" s="6" t="s">
        <v>151</v>
      </c>
      <c r="E77" s="7">
        <v>27700</v>
      </c>
      <c r="F77" s="7">
        <v>245000</v>
      </c>
      <c r="G77" s="7">
        <v>855944.01588656427</v>
      </c>
      <c r="H77" s="7">
        <v>2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11000</v>
      </c>
      <c r="O77" s="7">
        <v>110000</v>
      </c>
      <c r="P77" s="7">
        <v>0</v>
      </c>
      <c r="Q77" s="7">
        <v>0</v>
      </c>
      <c r="R77" s="7">
        <v>0</v>
      </c>
      <c r="S77" s="7">
        <v>0</v>
      </c>
      <c r="T77" s="7">
        <v>162435877.90922579</v>
      </c>
      <c r="U77" s="7">
        <v>0</v>
      </c>
      <c r="V77" s="7">
        <v>0</v>
      </c>
      <c r="W77" s="7">
        <v>4073009495.1818724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120</v>
      </c>
      <c r="AG77" s="7">
        <v>0</v>
      </c>
    </row>
    <row r="78" spans="1:34" x14ac:dyDescent="0.3">
      <c r="A78" s="5">
        <v>77</v>
      </c>
      <c r="B78" s="5" t="s">
        <v>106</v>
      </c>
      <c r="C78" s="6" t="s">
        <v>146</v>
      </c>
      <c r="D78" s="6" t="s">
        <v>146</v>
      </c>
      <c r="E78" s="7">
        <v>655000</v>
      </c>
      <c r="F78" s="7">
        <v>150000</v>
      </c>
      <c r="G78" s="7">
        <v>834024315.6499815</v>
      </c>
      <c r="H78" s="7">
        <v>35600</v>
      </c>
      <c r="I78" s="7">
        <v>90500</v>
      </c>
      <c r="J78" s="7">
        <v>5400</v>
      </c>
      <c r="K78" s="7">
        <v>0</v>
      </c>
      <c r="L78" s="7">
        <v>0</v>
      </c>
      <c r="M78" s="7">
        <v>75</v>
      </c>
      <c r="N78" s="7">
        <v>1000000</v>
      </c>
      <c r="O78" s="7">
        <v>1320000</v>
      </c>
      <c r="P78" s="7">
        <v>19000000</v>
      </c>
      <c r="Q78" s="7">
        <v>0</v>
      </c>
      <c r="R78" s="7">
        <v>0</v>
      </c>
      <c r="S78" s="7">
        <v>0</v>
      </c>
      <c r="T78" s="7">
        <v>14696772.109407524</v>
      </c>
      <c r="U78" s="7">
        <v>0</v>
      </c>
      <c r="V78" s="7">
        <v>565.68542494923804</v>
      </c>
      <c r="W78" s="7">
        <v>2221799926.0651917</v>
      </c>
      <c r="X78" s="7">
        <v>23197693.311155792</v>
      </c>
      <c r="Y78" s="7">
        <v>270000</v>
      </c>
      <c r="Z78" s="7">
        <v>0</v>
      </c>
      <c r="AA78" s="7">
        <v>0</v>
      </c>
      <c r="AB78" s="7">
        <v>0</v>
      </c>
      <c r="AC78" s="7">
        <v>187</v>
      </c>
      <c r="AD78" s="7">
        <v>740</v>
      </c>
      <c r="AE78" s="7">
        <v>0</v>
      </c>
      <c r="AF78" s="7">
        <v>233</v>
      </c>
      <c r="AG78" s="7">
        <v>0</v>
      </c>
      <c r="AH78" s="7">
        <v>444000</v>
      </c>
    </row>
    <row r="79" spans="1:34" x14ac:dyDescent="0.3">
      <c r="A79" s="5">
        <v>78</v>
      </c>
      <c r="B79" s="5" t="s">
        <v>107</v>
      </c>
      <c r="C79" s="6" t="s">
        <v>145</v>
      </c>
      <c r="D79" s="6" t="s">
        <v>151</v>
      </c>
      <c r="E79" s="7">
        <v>1080000</v>
      </c>
      <c r="F79" s="7">
        <v>185000</v>
      </c>
      <c r="G79" s="7">
        <v>87603397.069899067</v>
      </c>
      <c r="H79" s="7">
        <v>0</v>
      </c>
      <c r="I79" s="7">
        <v>490000</v>
      </c>
      <c r="J79" s="7">
        <v>0</v>
      </c>
      <c r="K79" s="7">
        <v>0</v>
      </c>
      <c r="L79" s="7">
        <v>0</v>
      </c>
      <c r="M79" s="7">
        <v>0</v>
      </c>
      <c r="N79" s="7">
        <v>106000</v>
      </c>
      <c r="O79" s="7">
        <v>220000</v>
      </c>
      <c r="P79" s="7">
        <v>0</v>
      </c>
      <c r="Q79" s="7">
        <v>0</v>
      </c>
      <c r="R79" s="7">
        <v>0</v>
      </c>
      <c r="S79" s="7">
        <v>0</v>
      </c>
      <c r="T79" s="7">
        <v>64919020.713672638</v>
      </c>
      <c r="U79" s="7">
        <v>0</v>
      </c>
      <c r="V79" s="7">
        <v>500878960.00735348</v>
      </c>
      <c r="W79" s="7">
        <v>20210543552.49992</v>
      </c>
      <c r="X79" s="7">
        <v>0</v>
      </c>
      <c r="Y79" s="7">
        <v>0</v>
      </c>
      <c r="Z79" s="7">
        <v>0</v>
      </c>
      <c r="AA79" s="7">
        <v>12900000</v>
      </c>
      <c r="AB79" s="7">
        <v>0</v>
      </c>
      <c r="AC79" s="7">
        <v>0</v>
      </c>
      <c r="AD79" s="7">
        <v>0</v>
      </c>
      <c r="AE79" s="7">
        <v>0</v>
      </c>
      <c r="AF79" s="7">
        <v>56</v>
      </c>
      <c r="AG79" s="7">
        <v>0</v>
      </c>
      <c r="AH79" s="7">
        <v>39200</v>
      </c>
    </row>
    <row r="80" spans="1:34" x14ac:dyDescent="0.3">
      <c r="A80" s="5">
        <v>79</v>
      </c>
      <c r="B80" s="5" t="s">
        <v>108</v>
      </c>
      <c r="C80" s="6" t="s">
        <v>144</v>
      </c>
      <c r="D80" s="6" t="s">
        <v>151</v>
      </c>
      <c r="E80" s="7">
        <v>45500</v>
      </c>
      <c r="F80" s="7">
        <v>105000</v>
      </c>
      <c r="G80" s="7">
        <v>53284165.183739156</v>
      </c>
      <c r="H80" s="7">
        <v>38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4500</v>
      </c>
      <c r="P80" s="7">
        <v>0</v>
      </c>
      <c r="Q80" s="7">
        <v>0</v>
      </c>
      <c r="R80" s="7">
        <v>0</v>
      </c>
      <c r="S80" s="7">
        <v>0</v>
      </c>
      <c r="T80" s="7">
        <v>59690739.589168571</v>
      </c>
      <c r="U80" s="7">
        <v>951841888.68019044</v>
      </c>
      <c r="V80" s="7">
        <v>0</v>
      </c>
      <c r="W80" s="7">
        <v>16098851242.046982</v>
      </c>
      <c r="X80" s="7">
        <v>0</v>
      </c>
      <c r="Y80" s="7">
        <v>2080000</v>
      </c>
      <c r="Z80" s="7">
        <v>76400000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x14ac:dyDescent="0.3">
      <c r="A81" s="5">
        <v>80</v>
      </c>
      <c r="B81" s="5" t="s">
        <v>109</v>
      </c>
      <c r="C81" s="6" t="s">
        <v>147</v>
      </c>
      <c r="D81" s="6" t="s">
        <v>151</v>
      </c>
      <c r="E81" s="7">
        <v>21100000</v>
      </c>
      <c r="F81" s="7">
        <v>455000</v>
      </c>
      <c r="G81" s="7">
        <v>2841296898.3612652</v>
      </c>
      <c r="H81" s="7">
        <v>8865</v>
      </c>
      <c r="I81" s="7">
        <v>2850000</v>
      </c>
      <c r="J81" s="7">
        <v>0</v>
      </c>
      <c r="K81" s="7">
        <v>0</v>
      </c>
      <c r="L81" s="7">
        <v>0</v>
      </c>
      <c r="M81" s="7">
        <v>0</v>
      </c>
      <c r="N81" s="7">
        <v>218000</v>
      </c>
      <c r="O81" s="7">
        <v>1000000</v>
      </c>
      <c r="P81" s="7">
        <v>0</v>
      </c>
      <c r="Q81" s="7">
        <v>0</v>
      </c>
      <c r="R81" s="7">
        <v>0</v>
      </c>
      <c r="S81" s="7">
        <v>42972905.302802972</v>
      </c>
      <c r="T81" s="7">
        <v>133823369.29331169</v>
      </c>
      <c r="U81" s="7">
        <v>0</v>
      </c>
      <c r="V81" s="7">
        <v>0</v>
      </c>
      <c r="W81" s="7">
        <v>12413126669.088936</v>
      </c>
      <c r="X81" s="7">
        <v>0</v>
      </c>
      <c r="Y81" s="7">
        <v>0</v>
      </c>
      <c r="Z81" s="7">
        <v>0</v>
      </c>
      <c r="AA81" s="7">
        <v>0</v>
      </c>
      <c r="AB81" s="7">
        <v>1110000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</row>
    <row r="82" spans="1:34" x14ac:dyDescent="0.3">
      <c r="A82" s="5">
        <v>81</v>
      </c>
      <c r="B82" s="5" t="s">
        <v>110</v>
      </c>
      <c r="C82" s="6" t="s">
        <v>148</v>
      </c>
      <c r="D82" s="6" t="s">
        <v>151</v>
      </c>
      <c r="E82" s="7">
        <v>89500</v>
      </c>
      <c r="F82" s="7">
        <v>350</v>
      </c>
      <c r="G82" s="7">
        <v>2298829.3981067841</v>
      </c>
      <c r="H82" s="7">
        <v>0</v>
      </c>
      <c r="I82" s="7">
        <v>43300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32109013.29620342</v>
      </c>
      <c r="U82" s="7">
        <v>0</v>
      </c>
      <c r="V82" s="7">
        <v>0</v>
      </c>
      <c r="W82" s="7">
        <v>7322381226.9210052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</row>
    <row r="83" spans="1:34" x14ac:dyDescent="0.3">
      <c r="A83" s="5">
        <v>82</v>
      </c>
      <c r="B83" s="5" t="s">
        <v>111</v>
      </c>
      <c r="C83" s="6" t="s">
        <v>146</v>
      </c>
      <c r="D83" s="6" t="s">
        <v>146</v>
      </c>
      <c r="E83" s="7">
        <v>160000</v>
      </c>
      <c r="F83" s="7">
        <v>225000</v>
      </c>
      <c r="G83" s="7">
        <v>1593697946.0195229</v>
      </c>
      <c r="H83" s="7">
        <v>31200</v>
      </c>
      <c r="I83" s="7">
        <v>140000</v>
      </c>
      <c r="J83" s="7">
        <v>449.99999999999989</v>
      </c>
      <c r="K83" s="7">
        <v>10</v>
      </c>
      <c r="L83" s="7">
        <v>0</v>
      </c>
      <c r="M83" s="7">
        <v>20</v>
      </c>
      <c r="N83" s="7">
        <v>17500</v>
      </c>
      <c r="O83" s="7">
        <v>107000</v>
      </c>
      <c r="P83" s="7">
        <v>19400000</v>
      </c>
      <c r="Q83" s="7">
        <v>0</v>
      </c>
      <c r="R83" s="7">
        <v>0</v>
      </c>
      <c r="S83" s="7">
        <v>0</v>
      </c>
      <c r="T83" s="7">
        <v>23398173.661399052</v>
      </c>
      <c r="U83" s="7">
        <v>0</v>
      </c>
      <c r="V83" s="7">
        <v>277.12812921102039</v>
      </c>
      <c r="W83" s="7">
        <v>496375973.38650107</v>
      </c>
      <c r="X83" s="7">
        <v>12323887.048398403</v>
      </c>
      <c r="Y83" s="7">
        <v>282000</v>
      </c>
      <c r="Z83" s="7">
        <v>0</v>
      </c>
      <c r="AA83" s="7">
        <v>0</v>
      </c>
      <c r="AB83" s="7">
        <v>0</v>
      </c>
      <c r="AC83" s="7">
        <v>250</v>
      </c>
      <c r="AD83" s="7">
        <v>620</v>
      </c>
      <c r="AE83" s="7">
        <v>0</v>
      </c>
      <c r="AF83" s="7">
        <v>220</v>
      </c>
      <c r="AG83" s="7">
        <v>0</v>
      </c>
      <c r="AH83" s="7">
        <v>206800</v>
      </c>
    </row>
    <row r="84" spans="1:34" x14ac:dyDescent="0.3">
      <c r="A84" s="5">
        <v>83</v>
      </c>
      <c r="B84" s="5" t="s">
        <v>112</v>
      </c>
      <c r="C84" s="6" t="s">
        <v>144</v>
      </c>
      <c r="D84" s="6" t="s">
        <v>151</v>
      </c>
      <c r="E84" s="7">
        <v>3000</v>
      </c>
      <c r="F84" s="7">
        <v>8500</v>
      </c>
      <c r="G84" s="7">
        <v>14592688.72519386</v>
      </c>
      <c r="H84" s="7">
        <v>0</v>
      </c>
      <c r="I84" s="7">
        <v>250</v>
      </c>
      <c r="J84" s="7">
        <v>0</v>
      </c>
      <c r="K84" s="7">
        <v>0</v>
      </c>
      <c r="L84" s="7">
        <v>0</v>
      </c>
      <c r="M84" s="7">
        <v>0</v>
      </c>
      <c r="N84" s="7">
        <v>100</v>
      </c>
      <c r="O84" s="7">
        <v>500</v>
      </c>
      <c r="P84" s="7">
        <v>0</v>
      </c>
      <c r="Q84" s="7">
        <v>0</v>
      </c>
      <c r="R84" s="7">
        <v>0</v>
      </c>
      <c r="S84" s="7">
        <v>0</v>
      </c>
      <c r="T84" s="7">
        <v>52457423.986192867</v>
      </c>
      <c r="U84" s="7">
        <v>111686544.73525316</v>
      </c>
      <c r="V84" s="7">
        <v>0</v>
      </c>
      <c r="W84" s="7">
        <v>3870289382.4588118</v>
      </c>
      <c r="X84" s="7">
        <v>0</v>
      </c>
      <c r="Y84" s="7">
        <v>1710000</v>
      </c>
      <c r="Z84" s="7">
        <v>56600000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x14ac:dyDescent="0.3">
      <c r="A85" s="5">
        <v>84</v>
      </c>
      <c r="B85" s="5" t="s">
        <v>113</v>
      </c>
      <c r="C85" s="6" t="s">
        <v>147</v>
      </c>
      <c r="D85" s="6" t="s">
        <v>151</v>
      </c>
      <c r="E85" s="7">
        <v>140000</v>
      </c>
      <c r="F85" s="7">
        <v>315000</v>
      </c>
      <c r="G85" s="7">
        <v>12377256855.546122</v>
      </c>
      <c r="H85" s="7">
        <v>1475</v>
      </c>
      <c r="I85" s="7">
        <v>1565000</v>
      </c>
      <c r="J85" s="7">
        <v>520</v>
      </c>
      <c r="K85" s="7">
        <v>0</v>
      </c>
      <c r="L85" s="7">
        <v>0</v>
      </c>
      <c r="M85" s="7">
        <v>0</v>
      </c>
      <c r="N85" s="7">
        <v>16000</v>
      </c>
      <c r="O85" s="7">
        <v>90500</v>
      </c>
      <c r="P85" s="7">
        <v>0</v>
      </c>
      <c r="Q85" s="7">
        <v>0</v>
      </c>
      <c r="R85" s="7">
        <v>0</v>
      </c>
      <c r="S85" s="7">
        <v>97453479.349524125</v>
      </c>
      <c r="T85" s="7">
        <v>203637126.43273121</v>
      </c>
      <c r="U85" s="7">
        <v>0</v>
      </c>
      <c r="V85" s="7">
        <v>0</v>
      </c>
      <c r="W85" s="7">
        <v>27941024000</v>
      </c>
      <c r="X85" s="7">
        <v>0</v>
      </c>
      <c r="Y85" s="7">
        <v>0</v>
      </c>
      <c r="Z85" s="7">
        <v>0</v>
      </c>
      <c r="AA85" s="7">
        <v>0</v>
      </c>
      <c r="AB85" s="7">
        <v>2660000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</row>
    <row r="86" spans="1:34" x14ac:dyDescent="0.3">
      <c r="A86" s="5">
        <v>85</v>
      </c>
      <c r="B86" s="5" t="s">
        <v>114</v>
      </c>
      <c r="C86" s="6" t="s">
        <v>148</v>
      </c>
      <c r="D86" s="6" t="s">
        <v>151</v>
      </c>
      <c r="E86" s="7">
        <v>6000</v>
      </c>
      <c r="F86" s="7">
        <v>21500</v>
      </c>
      <c r="G86" s="7">
        <v>8108408.5146223363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15</v>
      </c>
      <c r="O86" s="7">
        <v>15</v>
      </c>
      <c r="P86" s="7">
        <v>0</v>
      </c>
      <c r="Q86" s="7">
        <v>0</v>
      </c>
      <c r="R86" s="7">
        <v>0</v>
      </c>
      <c r="S86" s="7">
        <v>0</v>
      </c>
      <c r="T86" s="7">
        <v>60858600.339329556</v>
      </c>
      <c r="U86" s="7">
        <v>0</v>
      </c>
      <c r="V86" s="7">
        <v>0</v>
      </c>
      <c r="W86" s="7">
        <v>3506150045.8067961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</row>
    <row r="87" spans="1:34" x14ac:dyDescent="0.3">
      <c r="A87" s="5">
        <v>86</v>
      </c>
      <c r="B87" s="5" t="s">
        <v>115</v>
      </c>
      <c r="C87" s="6" t="s">
        <v>146</v>
      </c>
      <c r="D87" s="6" t="s">
        <v>146</v>
      </c>
      <c r="E87" s="7">
        <v>950000</v>
      </c>
      <c r="F87" s="7">
        <v>47000</v>
      </c>
      <c r="G87" s="7">
        <v>944901388.74826169</v>
      </c>
      <c r="H87" s="7">
        <v>29000</v>
      </c>
      <c r="I87" s="7">
        <v>320000</v>
      </c>
      <c r="J87" s="7">
        <v>313.63636363636363</v>
      </c>
      <c r="K87" s="7">
        <v>0</v>
      </c>
      <c r="L87" s="7">
        <v>0</v>
      </c>
      <c r="M87" s="7">
        <v>0</v>
      </c>
      <c r="N87" s="7">
        <v>30000</v>
      </c>
      <c r="O87" s="7">
        <v>215000</v>
      </c>
      <c r="P87" s="7">
        <v>6850000</v>
      </c>
      <c r="Q87" s="7">
        <v>0</v>
      </c>
      <c r="R87" s="7">
        <v>0</v>
      </c>
      <c r="S87" s="7">
        <v>0</v>
      </c>
      <c r="T87" s="7">
        <v>5988622.8076690082</v>
      </c>
      <c r="U87" s="7">
        <v>0</v>
      </c>
      <c r="V87" s="7">
        <v>0</v>
      </c>
      <c r="W87" s="7">
        <v>683028572.58815408</v>
      </c>
      <c r="X87" s="7">
        <v>10151435.001491334</v>
      </c>
      <c r="Y87" s="7">
        <v>372000</v>
      </c>
      <c r="Z87" s="7">
        <v>0</v>
      </c>
      <c r="AA87" s="7">
        <v>0</v>
      </c>
      <c r="AB87" s="7">
        <v>0</v>
      </c>
      <c r="AC87" s="7">
        <v>420</v>
      </c>
      <c r="AD87" s="7">
        <v>770</v>
      </c>
      <c r="AE87" s="7">
        <v>0</v>
      </c>
      <c r="AF87" s="7">
        <v>270</v>
      </c>
      <c r="AG87" s="7">
        <v>38500</v>
      </c>
      <c r="AH87" s="7">
        <v>22800</v>
      </c>
    </row>
    <row r="88" spans="1:34" x14ac:dyDescent="0.3">
      <c r="A88" s="5">
        <v>87</v>
      </c>
      <c r="B88" s="5" t="s">
        <v>116</v>
      </c>
      <c r="C88" s="6" t="s">
        <v>145</v>
      </c>
      <c r="D88" s="6" t="s">
        <v>151</v>
      </c>
      <c r="E88" s="7">
        <v>685000</v>
      </c>
      <c r="F88" s="7">
        <v>4000000</v>
      </c>
      <c r="G88" s="7">
        <v>127351917.41450933</v>
      </c>
      <c r="H88" s="7">
        <v>667</v>
      </c>
      <c r="I88" s="7">
        <v>25000</v>
      </c>
      <c r="J88" s="7">
        <v>0</v>
      </c>
      <c r="K88" s="7">
        <v>0</v>
      </c>
      <c r="L88" s="7">
        <v>0</v>
      </c>
      <c r="M88" s="7">
        <v>0</v>
      </c>
      <c r="N88" s="7">
        <v>4600</v>
      </c>
      <c r="O88" s="7">
        <v>18600</v>
      </c>
      <c r="P88" s="7">
        <v>19000000</v>
      </c>
      <c r="Q88" s="7">
        <v>0</v>
      </c>
      <c r="R88" s="7">
        <v>0</v>
      </c>
      <c r="S88" s="7">
        <v>0</v>
      </c>
      <c r="T88" s="7">
        <v>127084317.22879848</v>
      </c>
      <c r="U88" s="7">
        <v>0</v>
      </c>
      <c r="V88" s="7">
        <v>534216997.22974443</v>
      </c>
      <c r="W88" s="7">
        <v>14000116950.823437</v>
      </c>
      <c r="X88" s="7">
        <v>0</v>
      </c>
      <c r="Y88" s="7">
        <v>84400</v>
      </c>
      <c r="Z88" s="7">
        <v>0</v>
      </c>
      <c r="AA88" s="7">
        <v>4300000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</row>
    <row r="89" spans="1:34" x14ac:dyDescent="0.3">
      <c r="A89" s="5">
        <v>88</v>
      </c>
      <c r="B89" s="5" t="s">
        <v>117</v>
      </c>
      <c r="C89" s="6" t="s">
        <v>144</v>
      </c>
      <c r="D89" s="6" t="s">
        <v>151</v>
      </c>
      <c r="E89" s="7">
        <v>1430000</v>
      </c>
      <c r="F89" s="7">
        <v>135000</v>
      </c>
      <c r="G89" s="7">
        <v>10947920</v>
      </c>
      <c r="H89" s="7">
        <v>20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205000</v>
      </c>
      <c r="O89" s="7">
        <v>1390000</v>
      </c>
      <c r="P89" s="7">
        <v>0</v>
      </c>
      <c r="Q89" s="7">
        <v>0</v>
      </c>
      <c r="R89" s="7">
        <v>0</v>
      </c>
      <c r="S89" s="7">
        <v>0</v>
      </c>
      <c r="T89" s="7">
        <v>150321797.39880699</v>
      </c>
      <c r="U89" s="7">
        <v>358645477.73387134</v>
      </c>
      <c r="V89" s="7">
        <v>0</v>
      </c>
      <c r="W89" s="7">
        <v>13626282240</v>
      </c>
      <c r="X89" s="7">
        <v>0</v>
      </c>
      <c r="Y89" s="7">
        <v>682000</v>
      </c>
      <c r="Z89" s="7">
        <v>13200000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</row>
    <row r="90" spans="1:34" x14ac:dyDescent="0.3">
      <c r="A90" s="5">
        <v>89</v>
      </c>
      <c r="B90" s="5" t="s">
        <v>118</v>
      </c>
      <c r="C90" s="6" t="s">
        <v>147</v>
      </c>
      <c r="D90" s="6" t="s">
        <v>151</v>
      </c>
      <c r="E90" s="7">
        <v>17750000</v>
      </c>
      <c r="F90" s="7">
        <v>1000000</v>
      </c>
      <c r="G90" s="7">
        <v>8282963118.5680065</v>
      </c>
      <c r="H90" s="7">
        <v>105</v>
      </c>
      <c r="I90" s="7">
        <v>71500000</v>
      </c>
      <c r="J90" s="7">
        <v>0</v>
      </c>
      <c r="K90" s="7">
        <v>0</v>
      </c>
      <c r="L90" s="7">
        <v>0</v>
      </c>
      <c r="M90" s="7">
        <v>0</v>
      </c>
      <c r="N90" s="7">
        <v>180000</v>
      </c>
      <c r="O90" s="7">
        <v>2890000</v>
      </c>
      <c r="P90" s="7">
        <v>0</v>
      </c>
      <c r="Q90" s="7">
        <v>0</v>
      </c>
      <c r="R90" s="7">
        <v>0</v>
      </c>
      <c r="S90" s="7">
        <v>68398151.57199946</v>
      </c>
      <c r="T90" s="7">
        <v>354884441.61349022</v>
      </c>
      <c r="U90" s="7">
        <v>0</v>
      </c>
      <c r="V90" s="7">
        <v>0</v>
      </c>
      <c r="W90" s="7">
        <v>27249837932.417366</v>
      </c>
      <c r="X90" s="7">
        <v>0</v>
      </c>
      <c r="Y90" s="7">
        <v>176000</v>
      </c>
      <c r="Z90" s="7">
        <v>0</v>
      </c>
      <c r="AA90" s="7">
        <v>0</v>
      </c>
      <c r="AB90" s="7">
        <v>2040000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</row>
    <row r="91" spans="1:34" x14ac:dyDescent="0.3">
      <c r="A91" s="5">
        <v>90</v>
      </c>
      <c r="B91" s="5" t="s">
        <v>119</v>
      </c>
      <c r="C91" s="6" t="s">
        <v>148</v>
      </c>
      <c r="D91" s="6" t="s">
        <v>151</v>
      </c>
      <c r="E91" s="7">
        <v>370000</v>
      </c>
      <c r="F91" s="7">
        <v>33000</v>
      </c>
      <c r="G91" s="7">
        <v>9867502.6488367356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7900</v>
      </c>
      <c r="O91" s="7">
        <v>10000</v>
      </c>
      <c r="P91" s="7">
        <v>0</v>
      </c>
      <c r="Q91" s="7">
        <v>0</v>
      </c>
      <c r="R91" s="7">
        <v>0</v>
      </c>
      <c r="S91" s="7">
        <v>0</v>
      </c>
      <c r="T91" s="7">
        <v>37492720.990923166</v>
      </c>
      <c r="U91" s="7">
        <v>0</v>
      </c>
      <c r="V91" s="7">
        <v>0</v>
      </c>
      <c r="W91" s="7">
        <v>11718849303.231459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</row>
    <row r="92" spans="1:34" x14ac:dyDescent="0.3">
      <c r="A92" s="5">
        <v>91</v>
      </c>
      <c r="B92" s="5" t="s">
        <v>120</v>
      </c>
      <c r="C92" s="6" t="s">
        <v>146</v>
      </c>
      <c r="D92" s="6" t="s">
        <v>146</v>
      </c>
      <c r="E92" s="7">
        <v>1470000</v>
      </c>
      <c r="F92" s="7">
        <v>325000</v>
      </c>
      <c r="G92" s="7">
        <v>129176511.33198172</v>
      </c>
      <c r="H92" s="7">
        <v>6042</v>
      </c>
      <c r="I92" s="7">
        <v>444000</v>
      </c>
      <c r="J92" s="7">
        <v>7513.6363636363631</v>
      </c>
      <c r="K92" s="7">
        <v>0</v>
      </c>
      <c r="L92" s="7">
        <v>0</v>
      </c>
      <c r="M92" s="7">
        <v>130</v>
      </c>
      <c r="N92" s="7">
        <v>285000</v>
      </c>
      <c r="O92" s="7">
        <v>690000</v>
      </c>
      <c r="P92" s="7">
        <v>254515.338230514</v>
      </c>
      <c r="Q92" s="7">
        <v>12985.657976158454</v>
      </c>
      <c r="R92" s="7">
        <v>0</v>
      </c>
      <c r="S92" s="7">
        <v>0</v>
      </c>
      <c r="T92" s="7">
        <v>6027427.0107815228</v>
      </c>
      <c r="U92" s="7">
        <v>0</v>
      </c>
      <c r="V92" s="7">
        <v>0</v>
      </c>
      <c r="W92" s="7">
        <v>1681911309.7253287</v>
      </c>
      <c r="X92" s="7">
        <v>2214253.8065314195</v>
      </c>
      <c r="Y92" s="7">
        <v>342000</v>
      </c>
      <c r="Z92" s="7">
        <v>0</v>
      </c>
      <c r="AA92" s="7">
        <v>0</v>
      </c>
      <c r="AB92" s="7">
        <v>0</v>
      </c>
      <c r="AC92" s="7">
        <v>290</v>
      </c>
      <c r="AD92" s="7">
        <v>1000</v>
      </c>
      <c r="AE92" s="7">
        <v>0</v>
      </c>
      <c r="AF92" s="7">
        <v>6200</v>
      </c>
      <c r="AG92" s="7">
        <v>132000</v>
      </c>
      <c r="AH92" s="7">
        <v>0</v>
      </c>
    </row>
    <row r="93" spans="1:34" x14ac:dyDescent="0.3">
      <c r="A93" s="5">
        <v>92</v>
      </c>
      <c r="B93" s="5" t="s">
        <v>121</v>
      </c>
      <c r="C93" s="6" t="s">
        <v>145</v>
      </c>
      <c r="D93" s="6" t="s">
        <v>151</v>
      </c>
      <c r="E93" s="7">
        <v>2087500</v>
      </c>
      <c r="F93" s="7">
        <v>8000000</v>
      </c>
      <c r="G93" s="7">
        <v>26435349.719464652</v>
      </c>
      <c r="H93" s="7">
        <v>375000</v>
      </c>
      <c r="I93" s="7">
        <v>650</v>
      </c>
      <c r="J93" s="7">
        <v>0</v>
      </c>
      <c r="K93" s="7">
        <v>0</v>
      </c>
      <c r="L93" s="7">
        <v>0</v>
      </c>
      <c r="M93" s="7">
        <v>0</v>
      </c>
      <c r="N93" s="7">
        <v>6500</v>
      </c>
      <c r="O93" s="7">
        <v>5450000</v>
      </c>
      <c r="P93" s="7">
        <v>3485250.1935263346</v>
      </c>
      <c r="Q93" s="7">
        <v>0</v>
      </c>
      <c r="R93" s="7">
        <v>0</v>
      </c>
      <c r="S93" s="7">
        <v>0</v>
      </c>
      <c r="T93" s="7">
        <v>63673241.550043337</v>
      </c>
      <c r="U93" s="7">
        <v>0</v>
      </c>
      <c r="V93" s="7">
        <v>1391610311.2947562</v>
      </c>
      <c r="W93" s="7">
        <v>8166251919.447957</v>
      </c>
      <c r="X93" s="7">
        <v>0</v>
      </c>
      <c r="Y93" s="7">
        <v>0</v>
      </c>
      <c r="Z93" s="7">
        <v>0</v>
      </c>
      <c r="AA93" s="7">
        <v>5360000</v>
      </c>
      <c r="AB93" s="7">
        <v>544000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6000</v>
      </c>
    </row>
    <row r="94" spans="1:34" x14ac:dyDescent="0.3">
      <c r="A94" s="5">
        <v>93</v>
      </c>
      <c r="B94" s="5" t="s">
        <v>122</v>
      </c>
      <c r="C94" s="6" t="s">
        <v>144</v>
      </c>
      <c r="D94" s="6" t="s">
        <v>151</v>
      </c>
      <c r="E94" s="7">
        <v>975000</v>
      </c>
      <c r="F94" s="7">
        <v>6700000</v>
      </c>
      <c r="G94" s="7">
        <v>46687054.254437603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900000</v>
      </c>
      <c r="O94" s="7">
        <v>1120000</v>
      </c>
      <c r="P94" s="7">
        <v>0</v>
      </c>
      <c r="Q94" s="7">
        <v>12483430.852405544</v>
      </c>
      <c r="R94" s="7">
        <v>0</v>
      </c>
      <c r="S94" s="7">
        <v>0</v>
      </c>
      <c r="T94" s="7">
        <v>29906938.66119764</v>
      </c>
      <c r="U94" s="7">
        <v>520549609.31630719</v>
      </c>
      <c r="V94" s="7">
        <v>0</v>
      </c>
      <c r="W94" s="7">
        <v>14706824029.981653</v>
      </c>
      <c r="X94" s="7">
        <v>0</v>
      </c>
      <c r="Y94" s="7">
        <v>0</v>
      </c>
      <c r="Z94" s="7">
        <v>12200000</v>
      </c>
      <c r="AA94" s="7">
        <v>0</v>
      </c>
      <c r="AB94" s="7">
        <v>0</v>
      </c>
      <c r="AC94" s="7">
        <v>0</v>
      </c>
      <c r="AD94" s="7">
        <v>55</v>
      </c>
      <c r="AE94" s="7">
        <v>0</v>
      </c>
      <c r="AF94" s="7">
        <v>0</v>
      </c>
      <c r="AG94" s="7">
        <v>0</v>
      </c>
      <c r="AH94" s="7">
        <v>23600</v>
      </c>
    </row>
    <row r="95" spans="1:34" x14ac:dyDescent="0.3">
      <c r="A95" s="5">
        <v>94</v>
      </c>
      <c r="B95" s="5" t="s">
        <v>123</v>
      </c>
      <c r="C95" s="6" t="s">
        <v>147</v>
      </c>
      <c r="D95" s="6" t="s">
        <v>151</v>
      </c>
      <c r="E95" s="7">
        <v>140000000</v>
      </c>
      <c r="F95" s="7">
        <v>8550000</v>
      </c>
      <c r="G95" s="7">
        <v>2519423141.9865026</v>
      </c>
      <c r="H95" s="7">
        <v>250</v>
      </c>
      <c r="I95" s="7">
        <v>84200000</v>
      </c>
      <c r="J95" s="7">
        <v>0</v>
      </c>
      <c r="K95" s="7">
        <v>0</v>
      </c>
      <c r="L95" s="7">
        <v>0</v>
      </c>
      <c r="M95" s="7">
        <v>0</v>
      </c>
      <c r="N95" s="7">
        <v>12500</v>
      </c>
      <c r="O95" s="7">
        <v>22400000</v>
      </c>
      <c r="P95" s="7">
        <v>0</v>
      </c>
      <c r="Q95" s="7">
        <v>2584538.2266245186</v>
      </c>
      <c r="R95" s="7">
        <v>0</v>
      </c>
      <c r="S95" s="7">
        <v>95248240.10333322</v>
      </c>
      <c r="T95" s="7">
        <v>62856031.819023162</v>
      </c>
      <c r="U95" s="7">
        <v>0</v>
      </c>
      <c r="V95" s="7">
        <v>0</v>
      </c>
      <c r="W95" s="7">
        <v>549552409.73344851</v>
      </c>
      <c r="X95" s="7">
        <v>0</v>
      </c>
      <c r="Y95" s="7">
        <v>0</v>
      </c>
      <c r="Z95" s="7">
        <v>0</v>
      </c>
      <c r="AA95" s="7">
        <v>0</v>
      </c>
      <c r="AB95" s="7">
        <v>1560000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</row>
    <row r="96" spans="1:34" x14ac:dyDescent="0.3">
      <c r="A96" s="5">
        <v>95</v>
      </c>
      <c r="B96" s="5" t="s">
        <v>124</v>
      </c>
      <c r="C96" s="6" t="s">
        <v>148</v>
      </c>
      <c r="D96" s="6" t="s">
        <v>151</v>
      </c>
      <c r="E96" s="7">
        <v>1640000</v>
      </c>
      <c r="F96" s="7">
        <v>710000</v>
      </c>
      <c r="G96" s="7">
        <v>18999144.892252389</v>
      </c>
      <c r="H96" s="7">
        <v>0</v>
      </c>
      <c r="I96" s="7">
        <v>2500</v>
      </c>
      <c r="J96" s="7">
        <v>0</v>
      </c>
      <c r="K96" s="7">
        <v>0</v>
      </c>
      <c r="L96" s="7">
        <v>0</v>
      </c>
      <c r="M96" s="7">
        <v>0</v>
      </c>
      <c r="N96" s="7">
        <v>72500</v>
      </c>
      <c r="O96" s="7">
        <v>247500</v>
      </c>
      <c r="P96" s="7">
        <v>0</v>
      </c>
      <c r="Q96" s="7">
        <v>0</v>
      </c>
      <c r="R96" s="7">
        <v>0</v>
      </c>
      <c r="S96" s="7">
        <v>0</v>
      </c>
      <c r="T96" s="7">
        <v>19152565.664255861</v>
      </c>
      <c r="U96" s="7">
        <v>0</v>
      </c>
      <c r="V96" s="7">
        <v>0</v>
      </c>
      <c r="W96" s="7">
        <v>5029819139.0030365</v>
      </c>
      <c r="X96" s="7">
        <v>1647.1784826180797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</row>
    <row r="97" spans="1:34" x14ac:dyDescent="0.3">
      <c r="A97" s="5">
        <v>96</v>
      </c>
      <c r="B97" s="5" t="s">
        <v>125</v>
      </c>
      <c r="C97" s="6" t="s">
        <v>146</v>
      </c>
      <c r="D97" s="6" t="s">
        <v>146</v>
      </c>
      <c r="E97" s="7">
        <v>455000</v>
      </c>
      <c r="F97" s="7">
        <v>44100</v>
      </c>
      <c r="G97" s="7">
        <v>373761956.84400165</v>
      </c>
      <c r="H97" s="7">
        <v>4410</v>
      </c>
      <c r="I97" s="7">
        <v>65000</v>
      </c>
      <c r="J97" s="7">
        <v>125</v>
      </c>
      <c r="K97" s="7">
        <v>10</v>
      </c>
      <c r="L97" s="7">
        <v>0</v>
      </c>
      <c r="M97" s="7">
        <v>70</v>
      </c>
      <c r="N97" s="7">
        <v>3400000</v>
      </c>
      <c r="O97" s="7">
        <v>11200000</v>
      </c>
      <c r="P97" s="7">
        <v>2895000</v>
      </c>
      <c r="Q97" s="7">
        <v>0</v>
      </c>
      <c r="R97" s="7">
        <v>0</v>
      </c>
      <c r="S97" s="7">
        <v>0</v>
      </c>
      <c r="T97" s="7">
        <v>16087625.948856343</v>
      </c>
      <c r="U97" s="7">
        <v>8264.4298048927722</v>
      </c>
      <c r="V97" s="7">
        <v>0</v>
      </c>
      <c r="W97" s="7">
        <v>1926411736.2628291</v>
      </c>
      <c r="X97" s="7">
        <v>32801226.984795105</v>
      </c>
      <c r="Y97" s="7">
        <v>180000</v>
      </c>
      <c r="Z97" s="7">
        <v>0</v>
      </c>
      <c r="AA97" s="7">
        <v>0</v>
      </c>
      <c r="AB97" s="7">
        <v>0</v>
      </c>
      <c r="AC97" s="7">
        <v>290</v>
      </c>
      <c r="AD97" s="7">
        <v>0</v>
      </c>
      <c r="AE97" s="7">
        <v>0</v>
      </c>
      <c r="AF97" s="7">
        <v>220</v>
      </c>
      <c r="AG97" s="7">
        <v>159000</v>
      </c>
      <c r="AH97" s="7">
        <v>48000</v>
      </c>
    </row>
    <row r="98" spans="1:34" x14ac:dyDescent="0.3">
      <c r="A98" s="5">
        <v>97</v>
      </c>
      <c r="B98" s="5" t="s">
        <v>126</v>
      </c>
      <c r="C98" s="6" t="s">
        <v>145</v>
      </c>
      <c r="D98" s="6" t="s">
        <v>151</v>
      </c>
      <c r="E98" s="7">
        <v>964000</v>
      </c>
      <c r="F98" s="7">
        <v>35900</v>
      </c>
      <c r="G98" s="7">
        <v>1365246168.3052144</v>
      </c>
      <c r="H98" s="7">
        <v>0</v>
      </c>
      <c r="I98" s="7">
        <v>827000</v>
      </c>
      <c r="J98" s="7">
        <v>0</v>
      </c>
      <c r="K98" s="7">
        <v>0</v>
      </c>
      <c r="L98" s="7">
        <v>10</v>
      </c>
      <c r="M98" s="7">
        <v>0</v>
      </c>
      <c r="N98" s="7">
        <v>0</v>
      </c>
      <c r="O98" s="7">
        <v>109000000</v>
      </c>
      <c r="P98" s="7">
        <v>0</v>
      </c>
      <c r="Q98" s="7">
        <v>0</v>
      </c>
      <c r="R98" s="7">
        <v>0</v>
      </c>
      <c r="S98" s="7">
        <v>0</v>
      </c>
      <c r="T98" s="7">
        <v>122253685.38958994</v>
      </c>
      <c r="U98" s="7">
        <v>0</v>
      </c>
      <c r="V98" s="7">
        <v>37252827177.348877</v>
      </c>
      <c r="W98" s="7">
        <v>26228884752.897964</v>
      </c>
      <c r="X98" s="7">
        <v>0</v>
      </c>
      <c r="Y98" s="7">
        <v>51800</v>
      </c>
      <c r="Z98" s="7">
        <v>0</v>
      </c>
      <c r="AA98" s="7">
        <v>5420000</v>
      </c>
      <c r="AB98" s="7">
        <v>0</v>
      </c>
      <c r="AC98" s="7">
        <v>0</v>
      </c>
      <c r="AD98" s="7">
        <v>0</v>
      </c>
      <c r="AE98" s="7">
        <v>0</v>
      </c>
      <c r="AF98" s="7">
        <v>180</v>
      </c>
      <c r="AG98" s="7">
        <v>0</v>
      </c>
      <c r="AH98" s="7">
        <v>69200</v>
      </c>
    </row>
    <row r="99" spans="1:34" x14ac:dyDescent="0.3">
      <c r="A99" s="5">
        <v>98</v>
      </c>
      <c r="B99" s="5" t="s">
        <v>127</v>
      </c>
      <c r="C99" s="6" t="s">
        <v>144</v>
      </c>
      <c r="D99" s="6" t="s">
        <v>151</v>
      </c>
      <c r="E99" s="7">
        <v>450000</v>
      </c>
      <c r="F99" s="7">
        <v>270000</v>
      </c>
      <c r="G99" s="7">
        <v>13755939.248041399</v>
      </c>
      <c r="H99" s="7">
        <v>1100</v>
      </c>
      <c r="I99" s="7">
        <v>2910</v>
      </c>
      <c r="J99" s="7">
        <v>0</v>
      </c>
      <c r="K99" s="7">
        <v>0</v>
      </c>
      <c r="L99" s="7">
        <v>0</v>
      </c>
      <c r="M99" s="7">
        <v>0</v>
      </c>
      <c r="N99" s="7">
        <v>2950000</v>
      </c>
      <c r="O99" s="7">
        <v>28500000</v>
      </c>
      <c r="P99" s="7">
        <v>0</v>
      </c>
      <c r="Q99" s="7">
        <v>0</v>
      </c>
      <c r="R99" s="7">
        <v>0</v>
      </c>
      <c r="S99" s="7">
        <v>0</v>
      </c>
      <c r="T99" s="7">
        <v>12424873.047760226</v>
      </c>
      <c r="U99" s="7">
        <v>44273985.912235193</v>
      </c>
      <c r="V99" s="7">
        <v>0</v>
      </c>
      <c r="W99" s="7">
        <v>735556798.48872685</v>
      </c>
      <c r="X99" s="7">
        <v>236.08405282864828</v>
      </c>
      <c r="Y99" s="7">
        <v>0</v>
      </c>
      <c r="Z99" s="7">
        <v>177000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</row>
    <row r="100" spans="1:34" x14ac:dyDescent="0.3">
      <c r="A100" s="5">
        <v>99</v>
      </c>
      <c r="B100" s="5" t="s">
        <v>128</v>
      </c>
      <c r="C100" s="6" t="s">
        <v>147</v>
      </c>
      <c r="D100" s="6" t="s">
        <v>151</v>
      </c>
      <c r="E100" s="7">
        <v>20000</v>
      </c>
      <c r="F100" s="7">
        <v>4640</v>
      </c>
      <c r="G100" s="7">
        <v>14683220.791039795</v>
      </c>
      <c r="H100" s="7">
        <v>0</v>
      </c>
      <c r="I100" s="7">
        <v>90</v>
      </c>
      <c r="J100" s="7">
        <v>0</v>
      </c>
      <c r="K100" s="7">
        <v>0</v>
      </c>
      <c r="L100" s="7">
        <v>0</v>
      </c>
      <c r="M100" s="7">
        <v>0</v>
      </c>
      <c r="N100" s="7">
        <v>2270</v>
      </c>
      <c r="O100" s="7">
        <v>24500</v>
      </c>
      <c r="P100" s="7">
        <v>0</v>
      </c>
      <c r="Q100" s="7">
        <v>0</v>
      </c>
      <c r="R100" s="7">
        <v>0</v>
      </c>
      <c r="S100" s="7">
        <v>1382575.0817648636</v>
      </c>
      <c r="T100" s="7">
        <v>4198092.07920908</v>
      </c>
      <c r="U100" s="7">
        <v>0</v>
      </c>
      <c r="V100" s="7">
        <v>0</v>
      </c>
      <c r="W100" s="7">
        <v>677572508.35555899</v>
      </c>
      <c r="X100" s="7">
        <v>0</v>
      </c>
      <c r="Y100" s="7">
        <v>0</v>
      </c>
      <c r="Z100" s="7">
        <v>0</v>
      </c>
      <c r="AA100" s="7">
        <v>0</v>
      </c>
      <c r="AB100" s="7">
        <v>1910000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</row>
    <row r="101" spans="1:34" x14ac:dyDescent="0.3">
      <c r="A101" s="5">
        <v>100</v>
      </c>
      <c r="B101" s="5" t="s">
        <v>129</v>
      </c>
      <c r="C101" s="6" t="s">
        <v>146</v>
      </c>
      <c r="D101" s="6" t="s">
        <v>146</v>
      </c>
      <c r="E101" s="7">
        <v>659090</v>
      </c>
      <c r="F101" s="7">
        <v>65454</v>
      </c>
      <c r="G101" s="7">
        <v>434539368.92138553</v>
      </c>
      <c r="H101" s="7">
        <v>8136</v>
      </c>
      <c r="I101" s="7">
        <v>47272</v>
      </c>
      <c r="J101" s="7">
        <v>10</v>
      </c>
      <c r="K101" s="7">
        <v>0</v>
      </c>
      <c r="L101" s="7">
        <v>0</v>
      </c>
      <c r="M101" s="7">
        <v>0</v>
      </c>
      <c r="N101" s="7">
        <v>1523809.5238095238</v>
      </c>
      <c r="O101" s="7">
        <v>3761904.7619047612</v>
      </c>
      <c r="P101" s="7">
        <v>6650000</v>
      </c>
      <c r="Q101" s="7">
        <v>0</v>
      </c>
      <c r="R101" s="7">
        <v>0</v>
      </c>
      <c r="S101" s="7">
        <v>0</v>
      </c>
      <c r="T101" s="7">
        <v>26797048.358173355</v>
      </c>
      <c r="U101" s="7">
        <v>113.13708498984759</v>
      </c>
      <c r="V101" s="7">
        <v>0</v>
      </c>
      <c r="W101" s="7">
        <v>5247822785.8872395</v>
      </c>
      <c r="X101" s="7">
        <v>20731583.157877326</v>
      </c>
      <c r="Y101" s="7">
        <v>81400</v>
      </c>
      <c r="Z101" s="7">
        <v>0</v>
      </c>
      <c r="AA101" s="7">
        <v>0</v>
      </c>
      <c r="AB101" s="7">
        <v>0</v>
      </c>
      <c r="AC101" s="7">
        <v>230</v>
      </c>
      <c r="AD101" s="7">
        <v>0</v>
      </c>
      <c r="AE101" s="7">
        <v>0</v>
      </c>
      <c r="AF101" s="7">
        <v>84</v>
      </c>
      <c r="AG101" s="7">
        <v>0</v>
      </c>
      <c r="AH101" s="7">
        <v>204400</v>
      </c>
    </row>
    <row r="102" spans="1:34" x14ac:dyDescent="0.3">
      <c r="A102" s="5">
        <v>101</v>
      </c>
      <c r="B102" s="5" t="s">
        <v>130</v>
      </c>
      <c r="C102" s="6" t="s">
        <v>146</v>
      </c>
      <c r="D102" s="6" t="s">
        <v>146</v>
      </c>
      <c r="E102" s="7">
        <v>1236363</v>
      </c>
      <c r="F102" s="7">
        <v>95909</v>
      </c>
      <c r="G102" s="7">
        <v>613353674.35255432</v>
      </c>
      <c r="H102" s="7">
        <v>11318</v>
      </c>
      <c r="I102" s="7">
        <v>40227</v>
      </c>
      <c r="J102" s="7">
        <v>0</v>
      </c>
      <c r="K102" s="7">
        <v>0</v>
      </c>
      <c r="L102" s="7">
        <v>0</v>
      </c>
      <c r="M102" s="7">
        <v>145</v>
      </c>
      <c r="N102" s="7">
        <v>3000000</v>
      </c>
      <c r="O102" s="7">
        <v>7045454.5454545449</v>
      </c>
      <c r="P102" s="7">
        <v>20550000</v>
      </c>
      <c r="Q102" s="7">
        <v>0</v>
      </c>
      <c r="R102" s="7">
        <v>0</v>
      </c>
      <c r="S102" s="7">
        <v>0</v>
      </c>
      <c r="T102" s="7">
        <v>19401573.795725212</v>
      </c>
      <c r="U102" s="7">
        <v>0</v>
      </c>
      <c r="V102" s="7">
        <v>0</v>
      </c>
      <c r="W102" s="7">
        <v>3368766538.6785059</v>
      </c>
      <c r="X102" s="7">
        <v>70162126.326048225</v>
      </c>
      <c r="Y102" s="7">
        <v>456000</v>
      </c>
      <c r="Z102" s="7">
        <v>0</v>
      </c>
      <c r="AA102" s="7">
        <v>0</v>
      </c>
      <c r="AB102" s="7">
        <v>0</v>
      </c>
      <c r="AC102" s="7">
        <v>390</v>
      </c>
      <c r="AD102" s="7">
        <v>580</v>
      </c>
      <c r="AE102" s="7">
        <v>260</v>
      </c>
      <c r="AF102" s="7">
        <v>160</v>
      </c>
      <c r="AG102" s="7">
        <v>0</v>
      </c>
      <c r="AH102" s="7">
        <v>158800</v>
      </c>
    </row>
    <row r="103" spans="1:34" x14ac:dyDescent="0.3">
      <c r="A103" s="5">
        <v>102</v>
      </c>
      <c r="B103" s="5" t="s">
        <v>131</v>
      </c>
      <c r="C103" s="6" t="s">
        <v>145</v>
      </c>
      <c r="D103" s="6" t="s">
        <v>151</v>
      </c>
      <c r="E103" s="7">
        <v>195454</v>
      </c>
      <c r="F103" s="7">
        <v>28181</v>
      </c>
      <c r="G103" s="7">
        <v>9254531.2397333235</v>
      </c>
      <c r="H103" s="7">
        <v>1813</v>
      </c>
      <c r="I103" s="7">
        <v>105454</v>
      </c>
      <c r="J103" s="7">
        <v>0</v>
      </c>
      <c r="K103" s="7">
        <v>0</v>
      </c>
      <c r="L103" s="7">
        <v>5</v>
      </c>
      <c r="M103" s="7">
        <v>0</v>
      </c>
      <c r="N103" s="7">
        <v>0</v>
      </c>
      <c r="O103" s="7">
        <v>60000000</v>
      </c>
      <c r="P103" s="7">
        <v>0</v>
      </c>
      <c r="Q103" s="7">
        <v>0</v>
      </c>
      <c r="R103" s="7">
        <v>0</v>
      </c>
      <c r="S103" s="7">
        <v>0</v>
      </c>
      <c r="T103" s="7">
        <v>14792002.106077507</v>
      </c>
      <c r="U103" s="7">
        <v>0</v>
      </c>
      <c r="V103" s="7">
        <v>479249755.27171636</v>
      </c>
      <c r="W103" s="7">
        <v>6929898959.8309479</v>
      </c>
      <c r="X103" s="7">
        <v>0</v>
      </c>
      <c r="Y103" s="7">
        <v>0</v>
      </c>
      <c r="Z103" s="7">
        <v>0</v>
      </c>
      <c r="AA103" s="7">
        <v>240000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24000</v>
      </c>
    </row>
    <row r="104" spans="1:34" x14ac:dyDescent="0.3">
      <c r="A104" s="5">
        <v>103</v>
      </c>
      <c r="B104" s="5" t="s">
        <v>132</v>
      </c>
      <c r="C104" s="6" t="s">
        <v>144</v>
      </c>
      <c r="D104" s="6" t="s">
        <v>151</v>
      </c>
      <c r="E104" s="7">
        <v>167272</v>
      </c>
      <c r="F104" s="7">
        <v>83000</v>
      </c>
      <c r="G104" s="7">
        <v>92204810.370921522</v>
      </c>
      <c r="H104" s="7">
        <v>0</v>
      </c>
      <c r="I104" s="7">
        <v>100</v>
      </c>
      <c r="J104" s="7">
        <v>0</v>
      </c>
      <c r="K104" s="7">
        <v>0</v>
      </c>
      <c r="L104" s="7">
        <v>0</v>
      </c>
      <c r="M104" s="7">
        <v>0</v>
      </c>
      <c r="N104" s="7">
        <v>14545.454545454544</v>
      </c>
      <c r="O104" s="7">
        <v>79545.454545454515</v>
      </c>
      <c r="P104" s="7">
        <v>0</v>
      </c>
      <c r="Q104" s="7">
        <v>0</v>
      </c>
      <c r="R104" s="7">
        <v>0</v>
      </c>
      <c r="S104" s="7">
        <v>0</v>
      </c>
      <c r="T104" s="7">
        <v>24322709.901823178</v>
      </c>
      <c r="U104" s="7">
        <v>148512673.54436791</v>
      </c>
      <c r="V104" s="7">
        <v>0</v>
      </c>
      <c r="W104" s="7">
        <v>2215601192.2443109</v>
      </c>
      <c r="X104" s="7">
        <v>0</v>
      </c>
      <c r="Y104" s="7">
        <v>70800</v>
      </c>
      <c r="Z104" s="7">
        <v>2560000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</row>
    <row r="105" spans="1:34" x14ac:dyDescent="0.3">
      <c r="A105" s="5">
        <v>104</v>
      </c>
      <c r="B105" s="5" t="s">
        <v>133</v>
      </c>
      <c r="C105" s="6" t="s">
        <v>147</v>
      </c>
      <c r="D105" s="6" t="s">
        <v>151</v>
      </c>
      <c r="E105" s="7">
        <v>30000000</v>
      </c>
      <c r="F105" s="7">
        <v>5750000</v>
      </c>
      <c r="G105" s="7">
        <v>1748280323.3820705</v>
      </c>
      <c r="H105" s="7">
        <v>0</v>
      </c>
      <c r="I105" s="7">
        <v>1850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60000000</v>
      </c>
      <c r="P105" s="7">
        <v>0</v>
      </c>
      <c r="Q105" s="7">
        <v>0</v>
      </c>
      <c r="R105" s="7">
        <v>0</v>
      </c>
      <c r="S105" s="7">
        <v>8515696.875</v>
      </c>
      <c r="T105" s="7">
        <v>25283777.508850023</v>
      </c>
      <c r="U105" s="7">
        <v>0</v>
      </c>
      <c r="V105" s="7">
        <v>0</v>
      </c>
      <c r="W105" s="7">
        <v>1358828426.1447792</v>
      </c>
      <c r="X105" s="7">
        <v>0</v>
      </c>
      <c r="Y105" s="7">
        <v>0</v>
      </c>
      <c r="Z105" s="7">
        <v>0</v>
      </c>
      <c r="AA105" s="7">
        <v>0</v>
      </c>
      <c r="AB105" s="7">
        <v>1690000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</row>
    <row r="106" spans="1:34" x14ac:dyDescent="0.3">
      <c r="A106" s="5">
        <v>105</v>
      </c>
      <c r="B106" s="5" t="s">
        <v>134</v>
      </c>
      <c r="C106" s="6" t="s">
        <v>146</v>
      </c>
      <c r="D106" s="6" t="s">
        <v>146</v>
      </c>
      <c r="E106" s="7">
        <v>1890909</v>
      </c>
      <c r="F106" s="7">
        <v>87272</v>
      </c>
      <c r="G106" s="7">
        <v>1774908040.8795471</v>
      </c>
      <c r="H106" s="7">
        <v>7272</v>
      </c>
      <c r="I106" s="7">
        <v>76363</v>
      </c>
      <c r="J106" s="7">
        <v>3100</v>
      </c>
      <c r="K106" s="7">
        <v>0</v>
      </c>
      <c r="L106" s="7">
        <v>0</v>
      </c>
      <c r="M106" s="7">
        <v>50</v>
      </c>
      <c r="N106" s="7">
        <v>2772727.2727272725</v>
      </c>
      <c r="O106" s="7">
        <v>5954545.4545454541</v>
      </c>
      <c r="P106" s="7">
        <v>211000</v>
      </c>
      <c r="Q106" s="7">
        <v>0</v>
      </c>
      <c r="R106" s="7">
        <v>0</v>
      </c>
      <c r="S106" s="7">
        <v>0</v>
      </c>
      <c r="T106" s="7">
        <v>1836588.920262781</v>
      </c>
      <c r="U106" s="7">
        <v>120</v>
      </c>
      <c r="V106" s="7">
        <v>1526.302722267113</v>
      </c>
      <c r="W106" s="7">
        <v>3771775664.8025579</v>
      </c>
      <c r="X106" s="7">
        <v>68144788.179324999</v>
      </c>
      <c r="Y106" s="7">
        <v>140000</v>
      </c>
      <c r="Z106" s="7">
        <v>0</v>
      </c>
      <c r="AA106" s="7">
        <v>0</v>
      </c>
      <c r="AB106" s="7">
        <v>0</v>
      </c>
      <c r="AC106" s="7">
        <v>400</v>
      </c>
      <c r="AD106" s="7">
        <v>110</v>
      </c>
      <c r="AE106" s="7">
        <v>0</v>
      </c>
      <c r="AF106" s="7">
        <v>140</v>
      </c>
      <c r="AG106" s="7">
        <v>754000</v>
      </c>
      <c r="AH106" s="7">
        <v>246000</v>
      </c>
    </row>
    <row r="107" spans="1:34" x14ac:dyDescent="0.3">
      <c r="A107" s="5">
        <v>106</v>
      </c>
      <c r="B107" s="5" t="s">
        <v>135</v>
      </c>
      <c r="C107" s="6" t="s">
        <v>146</v>
      </c>
      <c r="D107" s="6" t="s">
        <v>146</v>
      </c>
      <c r="E107" s="7">
        <v>995454</v>
      </c>
      <c r="F107" s="7">
        <v>95000</v>
      </c>
      <c r="G107" s="7">
        <v>1722606957.8844178</v>
      </c>
      <c r="H107" s="7">
        <v>10454</v>
      </c>
      <c r="I107" s="7">
        <v>237603</v>
      </c>
      <c r="J107" s="7">
        <v>5000</v>
      </c>
      <c r="K107" s="7">
        <v>0</v>
      </c>
      <c r="L107" s="7">
        <v>0</v>
      </c>
      <c r="M107" s="7">
        <v>505</v>
      </c>
      <c r="N107" s="7">
        <v>6818181.8181818174</v>
      </c>
      <c r="O107" s="7">
        <v>10909090.909090908</v>
      </c>
      <c r="P107" s="7">
        <v>122139.731228668</v>
      </c>
      <c r="Q107" s="7">
        <v>597915.70380333101</v>
      </c>
      <c r="R107" s="7">
        <v>0</v>
      </c>
      <c r="S107" s="7">
        <v>0</v>
      </c>
      <c r="T107" s="7">
        <v>12505381.924822116</v>
      </c>
      <c r="U107" s="7">
        <v>0</v>
      </c>
      <c r="V107" s="7">
        <v>0</v>
      </c>
      <c r="W107" s="7">
        <v>1334752598.9475982</v>
      </c>
      <c r="X107" s="7">
        <v>45445023.683248714</v>
      </c>
      <c r="Y107" s="7">
        <v>224000</v>
      </c>
      <c r="Z107" s="7">
        <v>0</v>
      </c>
      <c r="AA107" s="7">
        <v>0</v>
      </c>
      <c r="AB107" s="7">
        <v>0</v>
      </c>
      <c r="AC107" s="7">
        <v>560</v>
      </c>
      <c r="AD107" s="7">
        <v>210</v>
      </c>
      <c r="AE107" s="7">
        <v>0</v>
      </c>
      <c r="AF107" s="7">
        <v>180</v>
      </c>
      <c r="AG107" s="7">
        <v>212000</v>
      </c>
      <c r="AH107" s="7">
        <v>181600</v>
      </c>
    </row>
    <row r="108" spans="1:34" x14ac:dyDescent="0.3">
      <c r="A108" s="5">
        <v>107</v>
      </c>
      <c r="B108" s="5" t="s">
        <v>136</v>
      </c>
      <c r="C108" s="6" t="s">
        <v>144</v>
      </c>
      <c r="D108" s="6" t="s">
        <v>151</v>
      </c>
      <c r="E108" s="7">
        <v>45909</v>
      </c>
      <c r="F108" s="7">
        <v>13181</v>
      </c>
      <c r="G108" s="7">
        <v>173575154.40402177</v>
      </c>
      <c r="H108" s="7">
        <v>197</v>
      </c>
      <c r="I108" s="7">
        <v>11318</v>
      </c>
      <c r="J108" s="7">
        <v>0</v>
      </c>
      <c r="K108" s="7">
        <v>0</v>
      </c>
      <c r="L108" s="7">
        <v>0</v>
      </c>
      <c r="M108" s="7">
        <v>0</v>
      </c>
      <c r="N108" s="7">
        <v>2000</v>
      </c>
      <c r="O108" s="7">
        <v>49090.909090909088</v>
      </c>
      <c r="P108" s="7">
        <v>0</v>
      </c>
      <c r="Q108" s="7">
        <v>7166283.0877316203</v>
      </c>
      <c r="R108" s="7">
        <v>0</v>
      </c>
      <c r="S108" s="7">
        <v>0</v>
      </c>
      <c r="T108" s="7">
        <v>8060406.7861816697</v>
      </c>
      <c r="U108" s="7">
        <v>115063962.44343963</v>
      </c>
      <c r="V108" s="7">
        <v>0</v>
      </c>
      <c r="W108" s="7">
        <v>1966703642.004302</v>
      </c>
      <c r="X108" s="7">
        <v>0</v>
      </c>
      <c r="Y108" s="7">
        <v>114000</v>
      </c>
      <c r="Z108" s="7">
        <v>1110000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</row>
    <row r="109" spans="1:34" x14ac:dyDescent="0.3">
      <c r="A109" s="5">
        <v>108</v>
      </c>
      <c r="B109" s="5" t="s">
        <v>137</v>
      </c>
      <c r="C109" s="6" t="s">
        <v>147</v>
      </c>
      <c r="D109" s="6" t="s">
        <v>151</v>
      </c>
      <c r="E109" s="7">
        <v>740909090</v>
      </c>
      <c r="F109" s="7">
        <v>2409090</v>
      </c>
      <c r="G109" s="7">
        <v>31035079110.995617</v>
      </c>
      <c r="H109" s="7">
        <v>185454</v>
      </c>
      <c r="I109" s="7">
        <v>135454</v>
      </c>
      <c r="J109" s="7">
        <v>0</v>
      </c>
      <c r="K109" s="7">
        <v>0</v>
      </c>
      <c r="L109" s="7">
        <v>0</v>
      </c>
      <c r="M109" s="7">
        <v>0</v>
      </c>
      <c r="N109" s="7">
        <v>47727272.727272727</v>
      </c>
      <c r="O109" s="7">
        <v>195454545.45454544</v>
      </c>
      <c r="P109" s="7">
        <v>0</v>
      </c>
      <c r="Q109" s="7">
        <v>0</v>
      </c>
      <c r="R109" s="7">
        <v>0</v>
      </c>
      <c r="S109" s="7">
        <v>31521.869010362101</v>
      </c>
      <c r="T109" s="7">
        <v>358382.63640548853</v>
      </c>
      <c r="U109" s="7">
        <v>0</v>
      </c>
      <c r="V109" s="7">
        <v>0</v>
      </c>
      <c r="W109" s="7">
        <v>888786.50574814645</v>
      </c>
      <c r="X109" s="7">
        <v>0</v>
      </c>
      <c r="Y109" s="7">
        <v>0</v>
      </c>
      <c r="Z109" s="7">
        <v>0</v>
      </c>
      <c r="AA109" s="7">
        <v>0</v>
      </c>
      <c r="AB109" s="7">
        <v>87000</v>
      </c>
      <c r="AC109" s="7">
        <v>0</v>
      </c>
      <c r="AD109" s="7">
        <v>0</v>
      </c>
      <c r="AE109" s="7">
        <v>0</v>
      </c>
      <c r="AF109" s="7">
        <v>100</v>
      </c>
      <c r="AG109" s="7">
        <v>0</v>
      </c>
      <c r="AH109" s="7">
        <v>0</v>
      </c>
    </row>
    <row r="110" spans="1:34" x14ac:dyDescent="0.3">
      <c r="A110" s="5">
        <v>109</v>
      </c>
      <c r="B110" s="5" t="s">
        <v>138</v>
      </c>
      <c r="C110" s="6" t="s">
        <v>146</v>
      </c>
      <c r="D110" s="6" t="s">
        <v>146</v>
      </c>
      <c r="E110" s="7">
        <v>1000000</v>
      </c>
      <c r="F110" s="7">
        <v>80000</v>
      </c>
      <c r="G110" s="7">
        <v>157195555.99365395</v>
      </c>
      <c r="H110" s="7">
        <v>3800</v>
      </c>
      <c r="I110" s="7">
        <v>260000</v>
      </c>
      <c r="J110" s="7">
        <v>6350</v>
      </c>
      <c r="K110" s="7">
        <v>0</v>
      </c>
      <c r="L110" s="7">
        <v>10</v>
      </c>
      <c r="M110" s="7">
        <v>20</v>
      </c>
      <c r="N110" s="7">
        <v>3500000</v>
      </c>
      <c r="O110" s="7">
        <v>5300000</v>
      </c>
      <c r="P110" s="7">
        <v>3562090.588961991</v>
      </c>
      <c r="Q110" s="7">
        <v>12630.250378921375</v>
      </c>
      <c r="R110" s="7">
        <v>1842052.3142283899</v>
      </c>
      <c r="S110" s="7">
        <v>0</v>
      </c>
      <c r="T110" s="7">
        <v>55239146.539548673</v>
      </c>
      <c r="U110" s="7">
        <v>120</v>
      </c>
      <c r="V110" s="7">
        <v>452.54833995939038</v>
      </c>
      <c r="W110" s="7">
        <v>1886210582.9811254</v>
      </c>
      <c r="X110" s="7">
        <v>30463501.345509186</v>
      </c>
      <c r="Y110" s="7">
        <v>462000</v>
      </c>
      <c r="Z110" s="7">
        <v>0</v>
      </c>
      <c r="AA110" s="7">
        <v>0</v>
      </c>
      <c r="AB110" s="7">
        <v>0</v>
      </c>
      <c r="AC110" s="7">
        <v>290</v>
      </c>
      <c r="AD110" s="7">
        <v>130</v>
      </c>
      <c r="AE110" s="7">
        <v>0</v>
      </c>
      <c r="AF110" s="7">
        <v>130</v>
      </c>
      <c r="AG110" s="7">
        <v>299600</v>
      </c>
      <c r="AH110" s="7">
        <v>36400</v>
      </c>
    </row>
    <row r="111" spans="1:34" x14ac:dyDescent="0.3">
      <c r="A111" s="5">
        <v>110</v>
      </c>
      <c r="B111" s="5" t="s">
        <v>139</v>
      </c>
      <c r="C111" s="6" t="s">
        <v>146</v>
      </c>
      <c r="D111" s="6" t="s">
        <v>146</v>
      </c>
      <c r="E111" s="7">
        <v>1000000</v>
      </c>
      <c r="F111" s="7">
        <v>92000</v>
      </c>
      <c r="G111" s="7">
        <v>264600488.91340542</v>
      </c>
      <c r="H111" s="7">
        <v>2700</v>
      </c>
      <c r="I111" s="7">
        <v>200000</v>
      </c>
      <c r="J111" s="7">
        <v>9400</v>
      </c>
      <c r="K111" s="7">
        <v>0</v>
      </c>
      <c r="L111" s="7">
        <v>0</v>
      </c>
      <c r="M111" s="7">
        <v>35</v>
      </c>
      <c r="N111" s="7">
        <v>5800000</v>
      </c>
      <c r="O111" s="7">
        <v>8200000</v>
      </c>
      <c r="P111" s="7">
        <v>5631135.2698009498</v>
      </c>
      <c r="Q111" s="7">
        <v>0</v>
      </c>
      <c r="R111" s="7">
        <v>2006790.1467098286</v>
      </c>
      <c r="S111" s="7">
        <v>0</v>
      </c>
      <c r="T111" s="7">
        <v>41040907.936560571</v>
      </c>
      <c r="U111" s="7">
        <v>0</v>
      </c>
      <c r="V111" s="7">
        <v>0</v>
      </c>
      <c r="W111" s="7">
        <v>1412435435.6240182</v>
      </c>
      <c r="X111" s="7">
        <v>35350147.255879134</v>
      </c>
      <c r="Y111" s="7">
        <v>276000</v>
      </c>
      <c r="Z111" s="7">
        <v>0</v>
      </c>
      <c r="AA111" s="7">
        <v>0</v>
      </c>
      <c r="AB111" s="7">
        <v>0</v>
      </c>
      <c r="AC111" s="7">
        <v>540</v>
      </c>
      <c r="AD111" s="7">
        <v>320</v>
      </c>
      <c r="AE111" s="7">
        <v>0</v>
      </c>
      <c r="AF111" s="7">
        <v>240</v>
      </c>
      <c r="AG111" s="7">
        <v>700000</v>
      </c>
      <c r="AH111" s="7">
        <v>31600</v>
      </c>
    </row>
    <row r="112" spans="1:34" x14ac:dyDescent="0.3">
      <c r="A112" s="5">
        <v>111</v>
      </c>
      <c r="B112" s="5" t="s">
        <v>140</v>
      </c>
      <c r="C112" s="6" t="s">
        <v>147</v>
      </c>
      <c r="D112" s="6" t="s">
        <v>151</v>
      </c>
      <c r="E112" s="7">
        <v>390000000</v>
      </c>
      <c r="F112" s="7">
        <v>120000000</v>
      </c>
      <c r="G112" s="7">
        <v>339095445.44465947</v>
      </c>
      <c r="H112" s="7">
        <v>880000</v>
      </c>
      <c r="I112" s="7">
        <v>26000000</v>
      </c>
      <c r="J112" s="7">
        <v>0</v>
      </c>
      <c r="K112" s="7">
        <v>0</v>
      </c>
      <c r="L112" s="7">
        <v>0</v>
      </c>
      <c r="M112" s="7">
        <v>0</v>
      </c>
      <c r="N112" s="7">
        <v>400000000</v>
      </c>
      <c r="O112" s="7">
        <v>1400000000</v>
      </c>
      <c r="P112" s="7">
        <v>0</v>
      </c>
      <c r="Q112" s="7">
        <v>0</v>
      </c>
      <c r="R112" s="7">
        <v>0</v>
      </c>
      <c r="S112" s="7">
        <v>68116442.796372309</v>
      </c>
      <c r="T112" s="7">
        <v>180120008.99775669</v>
      </c>
      <c r="U112" s="7">
        <v>0</v>
      </c>
      <c r="V112" s="7">
        <v>0</v>
      </c>
      <c r="W112" s="7">
        <v>1290669141.9052789</v>
      </c>
      <c r="X112" s="7">
        <v>0</v>
      </c>
      <c r="Y112" s="7">
        <v>0</v>
      </c>
      <c r="Z112" s="7">
        <v>0</v>
      </c>
      <c r="AA112" s="7">
        <v>0</v>
      </c>
      <c r="AB112" s="7">
        <v>2680000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</row>
    <row r="113" spans="1:34" x14ac:dyDescent="0.3">
      <c r="A113" s="5">
        <v>112</v>
      </c>
      <c r="B113" s="5" t="s">
        <v>141</v>
      </c>
      <c r="C113" s="6" t="s">
        <v>144</v>
      </c>
      <c r="D113" s="6" t="s">
        <v>151</v>
      </c>
      <c r="E113" s="7">
        <v>58000</v>
      </c>
      <c r="F113" s="7">
        <v>31000</v>
      </c>
      <c r="G113" s="7">
        <v>25779096.30366433</v>
      </c>
      <c r="H113" s="7">
        <v>2700</v>
      </c>
      <c r="I113" s="7">
        <v>350</v>
      </c>
      <c r="J113" s="7">
        <v>0</v>
      </c>
      <c r="K113" s="7">
        <v>0</v>
      </c>
      <c r="L113" s="7">
        <v>0</v>
      </c>
      <c r="M113" s="7">
        <v>0</v>
      </c>
      <c r="N113" s="7">
        <v>2700</v>
      </c>
      <c r="O113" s="7">
        <v>34000</v>
      </c>
      <c r="P113" s="7">
        <v>0</v>
      </c>
      <c r="Q113" s="7">
        <v>6717.8292344130314</v>
      </c>
      <c r="R113" s="7">
        <v>230782.01449455746</v>
      </c>
      <c r="S113" s="7">
        <v>0</v>
      </c>
      <c r="T113" s="7">
        <v>14508147.4235895</v>
      </c>
      <c r="U113" s="7">
        <v>4147446.592977419</v>
      </c>
      <c r="V113" s="7">
        <v>0</v>
      </c>
      <c r="W113" s="7">
        <v>469231518.39017802</v>
      </c>
      <c r="X113" s="7">
        <v>0</v>
      </c>
      <c r="Y113" s="7">
        <v>0</v>
      </c>
      <c r="Z113" s="7">
        <v>238000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x14ac:dyDescent="0.3">
      <c r="A114" s="5">
        <v>113</v>
      </c>
      <c r="B114" s="5" t="s">
        <v>142</v>
      </c>
      <c r="C114" s="6" t="s">
        <v>147</v>
      </c>
      <c r="D114" s="6" t="s">
        <v>151</v>
      </c>
      <c r="E114" s="7">
        <v>110000000</v>
      </c>
      <c r="F114" s="7">
        <v>11000000</v>
      </c>
      <c r="G114" s="7">
        <v>68213634.715039194</v>
      </c>
      <c r="H114" s="7">
        <v>1300</v>
      </c>
      <c r="I114" s="7">
        <v>83000000</v>
      </c>
      <c r="J114" s="7">
        <v>0</v>
      </c>
      <c r="K114" s="7">
        <v>0</v>
      </c>
      <c r="L114" s="7">
        <v>0</v>
      </c>
      <c r="M114" s="7">
        <v>0</v>
      </c>
      <c r="N114" s="7">
        <v>9100000</v>
      </c>
      <c r="O114" s="7">
        <v>19000000</v>
      </c>
      <c r="P114" s="7">
        <v>0</v>
      </c>
      <c r="Q114" s="7">
        <v>2789497.3937758058</v>
      </c>
      <c r="R114" s="7">
        <v>45983.493201597856</v>
      </c>
      <c r="S114" s="7">
        <v>1417937.0807684434</v>
      </c>
      <c r="T114" s="7">
        <v>17384089.930383287</v>
      </c>
      <c r="U114" s="7">
        <v>0</v>
      </c>
      <c r="V114" s="7">
        <v>0</v>
      </c>
      <c r="W114" s="7">
        <v>5671228819.0948629</v>
      </c>
      <c r="X114" s="7">
        <v>0</v>
      </c>
      <c r="Y114" s="7">
        <v>0</v>
      </c>
      <c r="Z114" s="7">
        <v>0</v>
      </c>
      <c r="AA114" s="7">
        <v>0</v>
      </c>
      <c r="AB114" s="7">
        <v>32600000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E899-253E-4903-BD4D-A4A07526B486}">
  <dimension ref="A1:B16"/>
  <sheetViews>
    <sheetView workbookViewId="0">
      <selection activeCell="B2" sqref="B2:B16"/>
    </sheetView>
  </sheetViews>
  <sheetFormatPr baseColWidth="10" defaultRowHeight="14.4" x14ac:dyDescent="0.3"/>
  <cols>
    <col min="1" max="1" width="15.5546875" bestFit="1" customWidth="1"/>
  </cols>
  <sheetData>
    <row r="1" spans="1:2" x14ac:dyDescent="0.3">
      <c r="A1" t="s">
        <v>153</v>
      </c>
      <c r="B1" t="s">
        <v>154</v>
      </c>
    </row>
    <row r="2" spans="1:2" x14ac:dyDescent="0.3">
      <c r="A2">
        <f ca="1">INT(RAND()*113+1)</f>
        <v>54</v>
      </c>
      <c r="B2">
        <v>4</v>
      </c>
    </row>
    <row r="3" spans="1:2" x14ac:dyDescent="0.3">
      <c r="A3">
        <f t="shared" ref="A3:A16" ca="1" si="0">INT(RAND()*113+1)</f>
        <v>82</v>
      </c>
      <c r="B3">
        <v>10</v>
      </c>
    </row>
    <row r="4" spans="1:2" x14ac:dyDescent="0.3">
      <c r="A4">
        <f t="shared" ca="1" si="0"/>
        <v>108</v>
      </c>
      <c r="B4">
        <v>22</v>
      </c>
    </row>
    <row r="5" spans="1:2" x14ac:dyDescent="0.3">
      <c r="A5">
        <f t="shared" ca="1" si="0"/>
        <v>109</v>
      </c>
      <c r="B5">
        <v>32</v>
      </c>
    </row>
    <row r="6" spans="1:2" x14ac:dyDescent="0.3">
      <c r="A6">
        <f t="shared" ca="1" si="0"/>
        <v>27</v>
      </c>
      <c r="B6">
        <v>35</v>
      </c>
    </row>
    <row r="7" spans="1:2" x14ac:dyDescent="0.3">
      <c r="A7">
        <f t="shared" ca="1" si="0"/>
        <v>3</v>
      </c>
      <c r="B7">
        <v>46</v>
      </c>
    </row>
    <row r="8" spans="1:2" x14ac:dyDescent="0.3">
      <c r="A8">
        <f t="shared" ca="1" si="0"/>
        <v>113</v>
      </c>
      <c r="B8">
        <v>54</v>
      </c>
    </row>
    <row r="9" spans="1:2" x14ac:dyDescent="0.3">
      <c r="A9">
        <f t="shared" ca="1" si="0"/>
        <v>26</v>
      </c>
      <c r="B9">
        <v>64</v>
      </c>
    </row>
    <row r="10" spans="1:2" x14ac:dyDescent="0.3">
      <c r="A10">
        <f t="shared" ca="1" si="0"/>
        <v>45</v>
      </c>
      <c r="B10">
        <v>67</v>
      </c>
    </row>
    <row r="11" spans="1:2" x14ac:dyDescent="0.3">
      <c r="A11">
        <f t="shared" ca="1" si="0"/>
        <v>98</v>
      </c>
      <c r="B11">
        <v>70</v>
      </c>
    </row>
    <row r="12" spans="1:2" x14ac:dyDescent="0.3">
      <c r="A12">
        <f t="shared" ca="1" si="0"/>
        <v>6</v>
      </c>
      <c r="B12">
        <v>72</v>
      </c>
    </row>
    <row r="13" spans="1:2" x14ac:dyDescent="0.3">
      <c r="A13">
        <f t="shared" ca="1" si="0"/>
        <v>82</v>
      </c>
      <c r="B13">
        <v>101</v>
      </c>
    </row>
    <row r="14" spans="1:2" x14ac:dyDescent="0.3">
      <c r="A14">
        <f t="shared" ca="1" si="0"/>
        <v>97</v>
      </c>
      <c r="B14">
        <v>102</v>
      </c>
    </row>
    <row r="15" spans="1:2" x14ac:dyDescent="0.3">
      <c r="A15">
        <f t="shared" ca="1" si="0"/>
        <v>10</v>
      </c>
      <c r="B15">
        <v>106</v>
      </c>
    </row>
    <row r="16" spans="1:2" x14ac:dyDescent="0.3">
      <c r="A16">
        <f t="shared" ca="1" si="0"/>
        <v>110</v>
      </c>
      <c r="B16">
        <v>110</v>
      </c>
    </row>
  </sheetData>
  <sortState ref="B2:B16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DF32-31AB-4609-B978-8D144398D07D}">
  <dimension ref="A1:AH99"/>
  <sheetViews>
    <sheetView workbookViewId="0">
      <selection activeCell="D17" sqref="D17"/>
    </sheetView>
  </sheetViews>
  <sheetFormatPr baseColWidth="10" defaultRowHeight="14.4" x14ac:dyDescent="0.3"/>
  <cols>
    <col min="1" max="2" width="11.5546875" style="1"/>
    <col min="3" max="4" width="11.5546875" style="2"/>
    <col min="5" max="6" width="13.44140625" style="3" bestFit="1" customWidth="1"/>
    <col min="7" max="7" width="15.44140625" style="3" bestFit="1" customWidth="1"/>
    <col min="8" max="8" width="11.6640625" style="3" bestFit="1" customWidth="1"/>
    <col min="9" max="9" width="13.44140625" style="3" bestFit="1" customWidth="1"/>
    <col min="10" max="13" width="11.6640625" style="3" bestFit="1" customWidth="1"/>
    <col min="14" max="14" width="13.44140625" style="3" bestFit="1" customWidth="1"/>
    <col min="15" max="15" width="14.44140625" style="3" bestFit="1" customWidth="1"/>
    <col min="16" max="17" width="12.44140625" style="3" bestFit="1" customWidth="1"/>
    <col min="18" max="18" width="11.6640625" style="3" bestFit="1" customWidth="1"/>
    <col min="19" max="19" width="12.44140625" style="3" bestFit="1" customWidth="1"/>
    <col min="20" max="20" width="14.44140625" style="3" bestFit="1" customWidth="1"/>
    <col min="21" max="22" width="15.44140625" style="3" bestFit="1" customWidth="1"/>
    <col min="23" max="23" width="16.5546875" style="3" bestFit="1" customWidth="1"/>
    <col min="24" max="25" width="12.44140625" style="3" bestFit="1" customWidth="1"/>
    <col min="26" max="28" width="13.44140625" style="3" bestFit="1" customWidth="1"/>
    <col min="29" max="34" width="11.6640625" style="3" bestFit="1" customWidth="1"/>
    <col min="35" max="16384" width="11.5546875" style="1"/>
  </cols>
  <sheetData>
    <row r="1" spans="1:34" x14ac:dyDescent="0.3">
      <c r="A1" s="1" t="s">
        <v>152</v>
      </c>
      <c r="B1" s="1" t="s">
        <v>149</v>
      </c>
      <c r="C1" s="2" t="s">
        <v>143</v>
      </c>
      <c r="D1" s="2" t="s">
        <v>150</v>
      </c>
      <c r="E1" s="3" t="s">
        <v>0</v>
      </c>
      <c r="F1" s="3" t="s">
        <v>1</v>
      </c>
      <c r="G1" s="3" t="s">
        <v>19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</row>
    <row r="2" spans="1:34" x14ac:dyDescent="0.3">
      <c r="A2" s="1">
        <v>1</v>
      </c>
      <c r="B2" s="1" t="s">
        <v>30</v>
      </c>
      <c r="C2" s="2" t="s">
        <v>144</v>
      </c>
      <c r="D2" s="2" t="s">
        <v>151</v>
      </c>
      <c r="E2" s="3">
        <v>5430000</v>
      </c>
      <c r="F2" s="3">
        <v>210000</v>
      </c>
      <c r="G2" s="3">
        <v>104713384.2549808</v>
      </c>
      <c r="H2" s="3">
        <v>800</v>
      </c>
      <c r="I2" s="3">
        <v>266000</v>
      </c>
      <c r="J2" s="3">
        <v>0</v>
      </c>
      <c r="K2" s="3">
        <v>50</v>
      </c>
      <c r="L2" s="3">
        <v>0</v>
      </c>
      <c r="M2" s="3">
        <v>0</v>
      </c>
      <c r="N2" s="3">
        <v>0</v>
      </c>
      <c r="O2" s="3">
        <v>840000</v>
      </c>
      <c r="P2" s="3">
        <v>0</v>
      </c>
      <c r="Q2" s="3">
        <v>0</v>
      </c>
      <c r="R2" s="3">
        <v>0</v>
      </c>
      <c r="S2" s="3">
        <v>0</v>
      </c>
      <c r="T2" s="3">
        <v>46399356.767162897</v>
      </c>
      <c r="U2" s="3">
        <v>58252.745858028007</v>
      </c>
      <c r="V2" s="3">
        <v>7509034.0044509051</v>
      </c>
      <c r="W2" s="3">
        <v>779069426.09932685</v>
      </c>
      <c r="X2" s="3">
        <v>221051.25436423111</v>
      </c>
      <c r="Y2" s="3">
        <v>524000</v>
      </c>
      <c r="Z2" s="3">
        <v>16700000</v>
      </c>
      <c r="AA2" s="3">
        <v>0</v>
      </c>
      <c r="AB2" s="3">
        <v>0</v>
      </c>
      <c r="AC2" s="3">
        <v>100</v>
      </c>
      <c r="AD2" s="3">
        <v>480</v>
      </c>
      <c r="AE2" s="3">
        <v>0</v>
      </c>
      <c r="AF2" s="3">
        <v>0</v>
      </c>
      <c r="AG2" s="3">
        <v>0</v>
      </c>
      <c r="AH2" s="3">
        <v>0</v>
      </c>
    </row>
    <row r="3" spans="1:34" x14ac:dyDescent="0.3">
      <c r="A3" s="1">
        <v>2</v>
      </c>
      <c r="B3" s="1" t="s">
        <v>31</v>
      </c>
      <c r="C3" s="2" t="s">
        <v>145</v>
      </c>
      <c r="D3" s="2" t="s">
        <v>151</v>
      </c>
      <c r="E3" s="3">
        <v>31700000</v>
      </c>
      <c r="F3" s="3">
        <v>27000</v>
      </c>
      <c r="G3" s="3">
        <v>122869900.71993595</v>
      </c>
      <c r="H3" s="3">
        <v>34000</v>
      </c>
      <c r="I3" s="3">
        <v>2050000</v>
      </c>
      <c r="J3" s="3">
        <v>0</v>
      </c>
      <c r="K3" s="3">
        <v>0</v>
      </c>
      <c r="L3" s="3">
        <v>3250</v>
      </c>
      <c r="M3" s="3">
        <v>0</v>
      </c>
      <c r="N3" s="3">
        <v>0</v>
      </c>
      <c r="O3" s="3">
        <v>1856818.1818181816</v>
      </c>
      <c r="P3" s="3">
        <v>0</v>
      </c>
      <c r="Q3" s="3">
        <v>0</v>
      </c>
      <c r="R3" s="3">
        <v>0</v>
      </c>
      <c r="S3" s="3">
        <v>0</v>
      </c>
      <c r="T3" s="3">
        <v>34921425.226402603</v>
      </c>
      <c r="U3" s="3">
        <v>0</v>
      </c>
      <c r="V3" s="3">
        <v>4866153579.3123178</v>
      </c>
      <c r="W3" s="3">
        <v>3199791383.1611419</v>
      </c>
      <c r="X3" s="3">
        <v>176521.14157618629</v>
      </c>
      <c r="Y3" s="3">
        <v>175000</v>
      </c>
      <c r="Z3" s="3">
        <v>0</v>
      </c>
      <c r="AA3" s="3">
        <v>404000000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24000</v>
      </c>
    </row>
    <row r="4" spans="1:34" x14ac:dyDescent="0.3">
      <c r="A4" s="1">
        <v>3</v>
      </c>
      <c r="B4" s="1" t="s">
        <v>32</v>
      </c>
      <c r="C4" s="2" t="s">
        <v>145</v>
      </c>
      <c r="D4" s="2" t="s">
        <v>151</v>
      </c>
      <c r="E4" s="3">
        <v>35400000</v>
      </c>
      <c r="F4" s="3">
        <v>23400</v>
      </c>
      <c r="G4" s="3">
        <v>489602326.64795661</v>
      </c>
      <c r="H4" s="3">
        <v>17300</v>
      </c>
      <c r="I4" s="3">
        <v>32500000</v>
      </c>
      <c r="J4" s="3">
        <v>0</v>
      </c>
      <c r="K4" s="3">
        <v>0</v>
      </c>
      <c r="L4" s="3">
        <v>33650</v>
      </c>
      <c r="M4" s="3">
        <v>0</v>
      </c>
      <c r="N4" s="3">
        <v>0</v>
      </c>
      <c r="O4" s="3">
        <v>1772727.2727272727</v>
      </c>
      <c r="P4" s="3">
        <v>0</v>
      </c>
      <c r="Q4" s="3">
        <v>0</v>
      </c>
      <c r="R4" s="3">
        <v>0</v>
      </c>
      <c r="S4" s="3">
        <v>0</v>
      </c>
      <c r="T4" s="3">
        <v>14887849.1601665</v>
      </c>
      <c r="U4" s="3">
        <v>0</v>
      </c>
      <c r="V4" s="3">
        <v>1768057968.4049728</v>
      </c>
      <c r="W4" s="3">
        <v>3476284847.6026893</v>
      </c>
      <c r="X4" s="3">
        <v>1294.4793547986774</v>
      </c>
      <c r="Y4" s="3">
        <v>82600</v>
      </c>
      <c r="Z4" s="3">
        <v>0</v>
      </c>
      <c r="AA4" s="3">
        <v>116000000</v>
      </c>
      <c r="AB4" s="3">
        <v>0</v>
      </c>
      <c r="AC4" s="3">
        <v>0</v>
      </c>
      <c r="AD4" s="3">
        <v>0</v>
      </c>
      <c r="AE4" s="3">
        <v>0</v>
      </c>
      <c r="AF4" s="3">
        <v>330</v>
      </c>
      <c r="AG4" s="3">
        <v>0</v>
      </c>
      <c r="AH4" s="3">
        <v>164000</v>
      </c>
    </row>
    <row r="5" spans="1:34" x14ac:dyDescent="0.3">
      <c r="A5" s="1">
        <v>5</v>
      </c>
      <c r="B5" s="1" t="s">
        <v>34</v>
      </c>
      <c r="C5" s="2" t="s">
        <v>147</v>
      </c>
      <c r="D5" s="2" t="s">
        <v>151</v>
      </c>
      <c r="E5" s="3">
        <v>26900000</v>
      </c>
      <c r="F5" s="3">
        <v>258000</v>
      </c>
      <c r="G5" s="3">
        <v>593500121.94803369</v>
      </c>
      <c r="H5" s="3">
        <v>3230</v>
      </c>
      <c r="I5" s="3">
        <v>1620000</v>
      </c>
      <c r="J5" s="3">
        <v>0</v>
      </c>
      <c r="K5" s="3">
        <v>0</v>
      </c>
      <c r="L5" s="3">
        <v>0</v>
      </c>
      <c r="M5" s="3">
        <v>171.42857142857142</v>
      </c>
      <c r="N5" s="3">
        <v>0</v>
      </c>
      <c r="O5" s="3">
        <v>982500</v>
      </c>
      <c r="P5" s="3">
        <v>0</v>
      </c>
      <c r="Q5" s="3">
        <v>0</v>
      </c>
      <c r="R5" s="3">
        <v>0</v>
      </c>
      <c r="S5" s="3">
        <v>3762004.4892194574</v>
      </c>
      <c r="T5" s="3">
        <v>326303671.18487501</v>
      </c>
      <c r="U5" s="3">
        <v>0</v>
      </c>
      <c r="V5" s="3">
        <v>0</v>
      </c>
      <c r="W5" s="3">
        <v>7406617217.7575359</v>
      </c>
      <c r="X5" s="3">
        <v>720867.44386179617</v>
      </c>
      <c r="Y5" s="3">
        <v>0</v>
      </c>
      <c r="Z5" s="3">
        <v>0</v>
      </c>
      <c r="AA5" s="3">
        <v>0</v>
      </c>
      <c r="AB5" s="3">
        <v>765000000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</row>
    <row r="6" spans="1:34" x14ac:dyDescent="0.3">
      <c r="A6" s="1">
        <v>6</v>
      </c>
      <c r="B6" s="1" t="s">
        <v>35</v>
      </c>
      <c r="C6" s="2" t="s">
        <v>147</v>
      </c>
      <c r="D6" s="2" t="s">
        <v>151</v>
      </c>
      <c r="E6" s="3">
        <v>1220000</v>
      </c>
      <c r="F6" s="3">
        <v>25800</v>
      </c>
      <c r="G6" s="3">
        <v>83422664.363256574</v>
      </c>
      <c r="H6" s="3">
        <v>8770</v>
      </c>
      <c r="I6" s="3">
        <v>237000</v>
      </c>
      <c r="J6" s="3">
        <v>0</v>
      </c>
      <c r="K6" s="3">
        <v>0</v>
      </c>
      <c r="L6" s="3">
        <v>20</v>
      </c>
      <c r="M6" s="3">
        <v>345.45454545454538</v>
      </c>
      <c r="N6" s="3">
        <v>6500</v>
      </c>
      <c r="O6" s="3">
        <v>194545.45454545456</v>
      </c>
      <c r="P6" s="3">
        <v>0</v>
      </c>
      <c r="Q6" s="3">
        <v>0</v>
      </c>
      <c r="R6" s="3">
        <v>0</v>
      </c>
      <c r="S6" s="3">
        <v>9736136.3331725467</v>
      </c>
      <c r="T6" s="3">
        <v>113136296.99875399</v>
      </c>
      <c r="U6" s="3">
        <v>0</v>
      </c>
      <c r="V6" s="3">
        <v>0</v>
      </c>
      <c r="W6" s="3">
        <v>18489962604.548374</v>
      </c>
      <c r="X6" s="3">
        <v>871415.76392626727</v>
      </c>
      <c r="Y6" s="3">
        <v>0</v>
      </c>
      <c r="Z6" s="3">
        <v>0</v>
      </c>
      <c r="AA6" s="3">
        <v>0</v>
      </c>
      <c r="AB6" s="3">
        <v>217000000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x14ac:dyDescent="0.3">
      <c r="A7" s="1">
        <v>7</v>
      </c>
      <c r="B7" s="1" t="s">
        <v>36</v>
      </c>
      <c r="C7" s="2" t="s">
        <v>146</v>
      </c>
      <c r="D7" s="2" t="s">
        <v>146</v>
      </c>
      <c r="E7" s="3">
        <v>459090</v>
      </c>
      <c r="F7" s="3">
        <v>31000</v>
      </c>
      <c r="G7" s="3">
        <v>176287424.81549048</v>
      </c>
      <c r="H7" s="3">
        <v>38636</v>
      </c>
      <c r="I7" s="3">
        <v>257207</v>
      </c>
      <c r="J7" s="3">
        <v>4900</v>
      </c>
      <c r="K7" s="3">
        <v>5</v>
      </c>
      <c r="L7" s="3">
        <v>210</v>
      </c>
      <c r="M7" s="3">
        <v>5</v>
      </c>
      <c r="N7" s="3">
        <v>5000.0000000000009</v>
      </c>
      <c r="O7" s="3">
        <v>70909.090909090912</v>
      </c>
      <c r="P7" s="3">
        <v>0</v>
      </c>
      <c r="Q7" s="3">
        <v>0</v>
      </c>
      <c r="R7" s="3">
        <v>0</v>
      </c>
      <c r="S7" s="3">
        <v>0</v>
      </c>
      <c r="T7" s="3">
        <v>102689717.70646071</v>
      </c>
      <c r="U7" s="3">
        <v>0</v>
      </c>
      <c r="V7" s="3">
        <v>1428.84568795934</v>
      </c>
      <c r="W7" s="3">
        <v>1927906005.9217143</v>
      </c>
      <c r="X7" s="3">
        <v>7612594.4718120694</v>
      </c>
      <c r="Y7" s="3">
        <v>75000</v>
      </c>
      <c r="Z7" s="3">
        <v>0</v>
      </c>
      <c r="AA7" s="3">
        <v>0</v>
      </c>
      <c r="AB7" s="3">
        <v>0</v>
      </c>
      <c r="AC7" s="3">
        <v>304</v>
      </c>
      <c r="AD7" s="3">
        <v>509</v>
      </c>
      <c r="AE7" s="3">
        <v>116</v>
      </c>
      <c r="AF7" s="3">
        <v>313</v>
      </c>
      <c r="AG7" s="3">
        <v>334000</v>
      </c>
      <c r="AH7" s="3">
        <v>43200</v>
      </c>
    </row>
    <row r="8" spans="1:34" x14ac:dyDescent="0.3">
      <c r="A8" s="1">
        <v>8</v>
      </c>
      <c r="B8" s="1" t="s">
        <v>37</v>
      </c>
      <c r="C8" s="2" t="s">
        <v>146</v>
      </c>
      <c r="D8" s="2" t="s">
        <v>146</v>
      </c>
      <c r="E8" s="3">
        <v>440909</v>
      </c>
      <c r="F8" s="3">
        <v>35000</v>
      </c>
      <c r="G8" s="3">
        <v>576646013.40805268</v>
      </c>
      <c r="H8" s="3">
        <v>21363</v>
      </c>
      <c r="I8" s="3">
        <v>217117</v>
      </c>
      <c r="J8" s="3">
        <v>6300</v>
      </c>
      <c r="K8" s="3">
        <v>5</v>
      </c>
      <c r="L8" s="3">
        <v>0</v>
      </c>
      <c r="M8" s="3">
        <v>5</v>
      </c>
      <c r="N8" s="3">
        <v>2000</v>
      </c>
      <c r="O8" s="3">
        <v>76363.636363636368</v>
      </c>
      <c r="P8" s="3">
        <v>4220000</v>
      </c>
      <c r="Q8" s="3">
        <v>0</v>
      </c>
      <c r="R8" s="3">
        <v>0</v>
      </c>
      <c r="S8" s="3">
        <v>0</v>
      </c>
      <c r="T8" s="3">
        <v>31290100.639500599</v>
      </c>
      <c r="U8" s="3">
        <v>0</v>
      </c>
      <c r="V8" s="3">
        <v>3746.3582316697903</v>
      </c>
      <c r="W8" s="3">
        <v>1587613281.8609478</v>
      </c>
      <c r="X8" s="3">
        <v>7182326.4965543412</v>
      </c>
      <c r="Y8" s="3">
        <v>16500</v>
      </c>
      <c r="Z8" s="3">
        <v>0</v>
      </c>
      <c r="AA8" s="3">
        <v>0</v>
      </c>
      <c r="AB8" s="3">
        <v>0</v>
      </c>
      <c r="AC8" s="3">
        <v>361</v>
      </c>
      <c r="AD8" s="3">
        <v>391</v>
      </c>
      <c r="AE8" s="3">
        <v>281</v>
      </c>
      <c r="AF8" s="3">
        <v>250</v>
      </c>
      <c r="AG8" s="3">
        <v>58300</v>
      </c>
      <c r="AH8" s="3">
        <v>18400</v>
      </c>
    </row>
    <row r="9" spans="1:34" x14ac:dyDescent="0.3">
      <c r="A9" s="1">
        <v>9</v>
      </c>
      <c r="B9" s="1" t="s">
        <v>38</v>
      </c>
      <c r="C9" s="2" t="s">
        <v>145</v>
      </c>
      <c r="D9" s="2" t="s">
        <v>151</v>
      </c>
      <c r="E9" s="3">
        <v>6000000</v>
      </c>
      <c r="F9" s="3">
        <v>12272</v>
      </c>
      <c r="G9" s="3">
        <v>318884700.10612929</v>
      </c>
      <c r="H9" s="3">
        <v>50909</v>
      </c>
      <c r="I9" s="3">
        <v>2954545</v>
      </c>
      <c r="J9" s="3">
        <v>0</v>
      </c>
      <c r="K9" s="3">
        <v>0</v>
      </c>
      <c r="L9" s="3">
        <v>16100</v>
      </c>
      <c r="M9" s="3">
        <v>5</v>
      </c>
      <c r="N9" s="3">
        <v>50000</v>
      </c>
      <c r="O9" s="3">
        <v>32950000</v>
      </c>
      <c r="P9" s="3">
        <v>0</v>
      </c>
      <c r="Q9" s="3">
        <v>0</v>
      </c>
      <c r="R9" s="3">
        <v>0</v>
      </c>
      <c r="S9" s="3">
        <v>0</v>
      </c>
      <c r="T9" s="3">
        <v>46700008.540051088</v>
      </c>
      <c r="U9" s="3">
        <v>0</v>
      </c>
      <c r="V9" s="3">
        <v>526283659.44292212</v>
      </c>
      <c r="W9" s="3">
        <v>8803633277.1746788</v>
      </c>
      <c r="X9" s="3">
        <v>11062.064906698026</v>
      </c>
      <c r="Y9" s="3">
        <v>318000</v>
      </c>
      <c r="Z9" s="3">
        <v>0</v>
      </c>
      <c r="AA9" s="3">
        <v>16500000</v>
      </c>
      <c r="AB9" s="3">
        <v>0</v>
      </c>
      <c r="AC9" s="3">
        <v>137</v>
      </c>
      <c r="AD9" s="3">
        <v>92</v>
      </c>
      <c r="AE9" s="3">
        <v>0</v>
      </c>
      <c r="AF9" s="3">
        <v>324</v>
      </c>
      <c r="AG9" s="3">
        <v>0</v>
      </c>
      <c r="AH9" s="3">
        <v>268800</v>
      </c>
    </row>
    <row r="10" spans="1:34" x14ac:dyDescent="0.3">
      <c r="A10" s="1">
        <v>11</v>
      </c>
      <c r="B10" s="1" t="s">
        <v>40</v>
      </c>
      <c r="C10" s="2" t="s">
        <v>145</v>
      </c>
      <c r="D10" s="2" t="s">
        <v>151</v>
      </c>
      <c r="E10" s="3">
        <v>1959016</v>
      </c>
      <c r="F10" s="3">
        <v>105000</v>
      </c>
      <c r="G10" s="3">
        <v>262934306.97522908</v>
      </c>
      <c r="H10" s="3">
        <v>64090</v>
      </c>
      <c r="I10" s="3">
        <v>2040983</v>
      </c>
      <c r="J10" s="3">
        <v>0</v>
      </c>
      <c r="K10" s="3">
        <v>0</v>
      </c>
      <c r="L10" s="3">
        <v>32950</v>
      </c>
      <c r="M10" s="3">
        <v>0</v>
      </c>
      <c r="N10" s="3">
        <v>5500</v>
      </c>
      <c r="O10" s="3">
        <v>5550000</v>
      </c>
      <c r="P10" s="3">
        <v>0</v>
      </c>
      <c r="Q10" s="3">
        <v>0</v>
      </c>
      <c r="R10" s="3">
        <v>0</v>
      </c>
      <c r="S10" s="3">
        <v>0</v>
      </c>
      <c r="T10" s="3">
        <v>39480892.342886284</v>
      </c>
      <c r="U10" s="3">
        <v>0</v>
      </c>
      <c r="V10" s="3">
        <v>250742047.46149775</v>
      </c>
      <c r="W10" s="3">
        <v>2882681837.4189587</v>
      </c>
      <c r="X10" s="3">
        <v>0</v>
      </c>
      <c r="Y10" s="3">
        <v>0</v>
      </c>
      <c r="Z10" s="3">
        <v>0</v>
      </c>
      <c r="AA10" s="3">
        <v>7580000</v>
      </c>
      <c r="AB10" s="3">
        <v>0</v>
      </c>
      <c r="AC10" s="3">
        <v>137</v>
      </c>
      <c r="AD10" s="3">
        <v>98</v>
      </c>
      <c r="AE10" s="3">
        <v>0</v>
      </c>
      <c r="AF10" s="3">
        <v>262</v>
      </c>
      <c r="AG10" s="3">
        <v>0</v>
      </c>
      <c r="AH10" s="3">
        <v>1100000</v>
      </c>
    </row>
    <row r="11" spans="1:34" x14ac:dyDescent="0.3">
      <c r="A11" s="1">
        <v>12</v>
      </c>
      <c r="B11" s="1" t="s">
        <v>41</v>
      </c>
      <c r="C11" s="2" t="s">
        <v>144</v>
      </c>
      <c r="D11" s="2" t="s">
        <v>151</v>
      </c>
      <c r="E11" s="3">
        <v>1729729</v>
      </c>
      <c r="F11" s="3">
        <v>13636</v>
      </c>
      <c r="G11" s="3">
        <v>496827.3857186216</v>
      </c>
      <c r="H11" s="3">
        <v>550</v>
      </c>
      <c r="I11" s="3">
        <v>157142</v>
      </c>
      <c r="J11" s="3">
        <v>0</v>
      </c>
      <c r="K11" s="3">
        <v>275</v>
      </c>
      <c r="L11" s="3">
        <v>0</v>
      </c>
      <c r="M11" s="3">
        <v>0</v>
      </c>
      <c r="N11" s="3">
        <v>18500</v>
      </c>
      <c r="O11" s="3">
        <v>1230000</v>
      </c>
      <c r="P11" s="3">
        <v>0</v>
      </c>
      <c r="Q11" s="3">
        <v>0</v>
      </c>
      <c r="R11" s="3">
        <v>0</v>
      </c>
      <c r="S11" s="3">
        <v>0</v>
      </c>
      <c r="T11" s="3">
        <v>2279958594.3846712</v>
      </c>
      <c r="U11" s="3">
        <v>13981.473455970226</v>
      </c>
      <c r="V11" s="3">
        <v>4863.5789291426127</v>
      </c>
      <c r="W11" s="3">
        <v>63817377.917805426</v>
      </c>
      <c r="X11" s="3">
        <v>0</v>
      </c>
      <c r="Y11" s="3">
        <v>42400</v>
      </c>
      <c r="Z11" s="3">
        <v>151000000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x14ac:dyDescent="0.3">
      <c r="A12" s="1">
        <v>13</v>
      </c>
      <c r="B12" s="1" t="s">
        <v>42</v>
      </c>
      <c r="C12" s="2" t="s">
        <v>146</v>
      </c>
      <c r="D12" s="2" t="s">
        <v>146</v>
      </c>
      <c r="E12" s="3">
        <v>819004</v>
      </c>
      <c r="F12" s="3">
        <v>45909</v>
      </c>
      <c r="G12" s="3">
        <v>700861195.10926437</v>
      </c>
      <c r="H12" s="3">
        <v>25454</v>
      </c>
      <c r="I12" s="3">
        <v>495454</v>
      </c>
      <c r="J12" s="3">
        <v>13500</v>
      </c>
      <c r="K12" s="3">
        <v>15</v>
      </c>
      <c r="L12" s="3">
        <v>390</v>
      </c>
      <c r="M12" s="3">
        <v>75</v>
      </c>
      <c r="N12" s="3">
        <v>1800</v>
      </c>
      <c r="O12" s="3">
        <v>55163.934426229505</v>
      </c>
      <c r="P12" s="3">
        <v>0</v>
      </c>
      <c r="Q12" s="3">
        <v>0</v>
      </c>
      <c r="R12" s="3">
        <v>0</v>
      </c>
      <c r="S12" s="3">
        <v>0</v>
      </c>
      <c r="T12" s="3">
        <v>18664096.015995242</v>
      </c>
      <c r="U12" s="3">
        <v>0</v>
      </c>
      <c r="V12" s="3">
        <v>0</v>
      </c>
      <c r="W12" s="3">
        <v>4118261692.5379653</v>
      </c>
      <c r="X12" s="3">
        <v>6316785.9271928342</v>
      </c>
      <c r="Y12" s="3">
        <v>49200</v>
      </c>
      <c r="Z12" s="3">
        <v>0</v>
      </c>
      <c r="AA12" s="3">
        <v>0</v>
      </c>
      <c r="AB12" s="3">
        <v>0</v>
      </c>
      <c r="AC12" s="3">
        <v>510</v>
      </c>
      <c r="AD12" s="3">
        <v>620</v>
      </c>
      <c r="AE12" s="3">
        <v>0</v>
      </c>
      <c r="AF12" s="3">
        <v>380</v>
      </c>
      <c r="AG12" s="3">
        <v>0</v>
      </c>
      <c r="AH12" s="3">
        <v>50400</v>
      </c>
    </row>
    <row r="13" spans="1:34" x14ac:dyDescent="0.3">
      <c r="A13" s="1">
        <v>14</v>
      </c>
      <c r="B13" s="1" t="s">
        <v>43</v>
      </c>
      <c r="C13" s="2" t="s">
        <v>146</v>
      </c>
      <c r="D13" s="2" t="s">
        <v>146</v>
      </c>
      <c r="E13" s="3">
        <v>277049</v>
      </c>
      <c r="F13" s="3">
        <v>35909</v>
      </c>
      <c r="G13" s="3">
        <v>195413484.14375094</v>
      </c>
      <c r="H13" s="3">
        <v>12252</v>
      </c>
      <c r="I13" s="3">
        <v>193693</v>
      </c>
      <c r="J13" s="3">
        <v>2538.6363636363635</v>
      </c>
      <c r="K13" s="3">
        <v>40</v>
      </c>
      <c r="L13" s="3">
        <v>2280</v>
      </c>
      <c r="M13" s="3">
        <v>290</v>
      </c>
      <c r="N13" s="3">
        <v>2650</v>
      </c>
      <c r="O13" s="3">
        <v>244166.66666666669</v>
      </c>
      <c r="P13" s="3">
        <v>62500000</v>
      </c>
      <c r="Q13" s="3">
        <v>0</v>
      </c>
      <c r="R13" s="3">
        <v>0</v>
      </c>
      <c r="S13" s="3">
        <v>0</v>
      </c>
      <c r="T13" s="3">
        <v>10709691.478391923</v>
      </c>
      <c r="U13" s="3">
        <v>0</v>
      </c>
      <c r="V13" s="3">
        <v>6214.8209950086257</v>
      </c>
      <c r="W13" s="3">
        <v>2555080366.5634608</v>
      </c>
      <c r="X13" s="3">
        <v>7657387.4255842008</v>
      </c>
      <c r="Y13" s="3">
        <v>22800</v>
      </c>
      <c r="Z13" s="3">
        <v>0</v>
      </c>
      <c r="AA13" s="3">
        <v>0</v>
      </c>
      <c r="AB13" s="3">
        <v>25000</v>
      </c>
      <c r="AC13" s="3">
        <v>310</v>
      </c>
      <c r="AD13" s="3">
        <v>370</v>
      </c>
      <c r="AE13" s="3">
        <v>0</v>
      </c>
      <c r="AF13" s="3">
        <v>210</v>
      </c>
      <c r="AG13" s="3">
        <v>153000</v>
      </c>
      <c r="AH13" s="3">
        <v>225200</v>
      </c>
    </row>
    <row r="14" spans="1:34" x14ac:dyDescent="0.3">
      <c r="A14" s="1">
        <v>15</v>
      </c>
      <c r="B14" s="1" t="s">
        <v>44</v>
      </c>
      <c r="C14" s="2" t="s">
        <v>144</v>
      </c>
      <c r="D14" s="2" t="s">
        <v>151</v>
      </c>
      <c r="E14" s="3">
        <v>5536363</v>
      </c>
      <c r="F14" s="3">
        <v>50000</v>
      </c>
      <c r="G14" s="3">
        <v>3794099718.0446382</v>
      </c>
      <c r="H14" s="3">
        <v>96000</v>
      </c>
      <c r="I14" s="3">
        <v>118918</v>
      </c>
      <c r="J14" s="3">
        <v>0</v>
      </c>
      <c r="K14" s="3">
        <v>40</v>
      </c>
      <c r="L14" s="3">
        <v>0</v>
      </c>
      <c r="M14" s="3">
        <v>0</v>
      </c>
      <c r="N14" s="3">
        <v>55000</v>
      </c>
      <c r="O14" s="3">
        <v>1095000</v>
      </c>
      <c r="P14" s="3">
        <v>0</v>
      </c>
      <c r="Q14" s="3">
        <v>0</v>
      </c>
      <c r="R14" s="3">
        <v>0</v>
      </c>
      <c r="S14" s="3">
        <v>0</v>
      </c>
      <c r="T14" s="3">
        <v>19029262.628510661</v>
      </c>
      <c r="U14" s="3">
        <v>455110161.54806763</v>
      </c>
      <c r="V14" s="3">
        <v>233436079.46481621</v>
      </c>
      <c r="W14" s="3">
        <v>69831993461.000778</v>
      </c>
      <c r="X14" s="3">
        <v>336964.70048003545</v>
      </c>
      <c r="Y14" s="3">
        <v>16500</v>
      </c>
      <c r="Z14" s="3">
        <v>50600000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3">
      <c r="A15" s="1">
        <v>16</v>
      </c>
      <c r="B15" s="1" t="s">
        <v>45</v>
      </c>
      <c r="C15" s="2" t="s">
        <v>145</v>
      </c>
      <c r="D15" s="2" t="s">
        <v>151</v>
      </c>
      <c r="E15" s="3">
        <v>91500000</v>
      </c>
      <c r="F15" s="3">
        <v>214285</v>
      </c>
      <c r="G15" s="3">
        <v>639854823.44835436</v>
      </c>
      <c r="H15" s="3">
        <v>44090</v>
      </c>
      <c r="I15" s="3">
        <v>9772727</v>
      </c>
      <c r="J15" s="3">
        <v>0</v>
      </c>
      <c r="K15" s="3">
        <v>0</v>
      </c>
      <c r="L15" s="3">
        <v>4104.545454545454</v>
      </c>
      <c r="M15" s="3">
        <v>0</v>
      </c>
      <c r="N15" s="3">
        <v>50000</v>
      </c>
      <c r="O15" s="3">
        <v>6900000</v>
      </c>
      <c r="P15" s="3">
        <v>0</v>
      </c>
      <c r="Q15" s="3">
        <v>0</v>
      </c>
      <c r="R15" s="3">
        <v>0</v>
      </c>
      <c r="S15" s="3">
        <v>0</v>
      </c>
      <c r="T15" s="3">
        <v>12030036.914479487</v>
      </c>
      <c r="U15" s="3">
        <v>0</v>
      </c>
      <c r="V15" s="3">
        <v>631101961.76488626</v>
      </c>
      <c r="W15" s="3">
        <v>7077814204.5099087</v>
      </c>
      <c r="X15" s="3">
        <v>87034.984671682454</v>
      </c>
      <c r="Y15" s="3">
        <v>268000</v>
      </c>
      <c r="Z15" s="3">
        <v>0</v>
      </c>
      <c r="AA15" s="3">
        <v>33200000</v>
      </c>
      <c r="AB15" s="3">
        <v>0</v>
      </c>
      <c r="AC15" s="3">
        <v>0</v>
      </c>
      <c r="AD15" s="3">
        <v>0</v>
      </c>
      <c r="AE15" s="3">
        <v>0</v>
      </c>
      <c r="AF15" s="3">
        <v>59</v>
      </c>
      <c r="AG15" s="3">
        <v>0</v>
      </c>
      <c r="AH15" s="3">
        <v>604000</v>
      </c>
    </row>
    <row r="16" spans="1:34" x14ac:dyDescent="0.3">
      <c r="A16" s="1">
        <v>17</v>
      </c>
      <c r="B16" s="1" t="s">
        <v>46</v>
      </c>
      <c r="C16" s="2" t="s">
        <v>147</v>
      </c>
      <c r="D16" s="2" t="s">
        <v>151</v>
      </c>
      <c r="E16" s="3">
        <v>17090909</v>
      </c>
      <c r="F16" s="3">
        <v>547619</v>
      </c>
      <c r="G16" s="3">
        <v>4311900582.4695997</v>
      </c>
      <c r="H16" s="3">
        <v>2509</v>
      </c>
      <c r="I16" s="3">
        <v>4250000</v>
      </c>
      <c r="J16" s="3">
        <v>0</v>
      </c>
      <c r="K16" s="3">
        <v>0</v>
      </c>
      <c r="L16" s="3">
        <v>0</v>
      </c>
      <c r="M16" s="3">
        <v>0</v>
      </c>
      <c r="N16" s="3">
        <v>47500</v>
      </c>
      <c r="O16" s="3">
        <v>133000</v>
      </c>
      <c r="P16" s="3">
        <v>0</v>
      </c>
      <c r="Q16" s="3">
        <v>0</v>
      </c>
      <c r="R16" s="3">
        <v>0</v>
      </c>
      <c r="S16" s="3">
        <v>26239574.820295356</v>
      </c>
      <c r="T16" s="3">
        <v>43217233.240818493</v>
      </c>
      <c r="U16" s="3">
        <v>0</v>
      </c>
      <c r="V16" s="3">
        <v>0</v>
      </c>
      <c r="W16" s="3">
        <v>3014776510.1392918</v>
      </c>
      <c r="X16" s="3">
        <v>3793735.8946271422</v>
      </c>
      <c r="Y16" s="3">
        <v>44600</v>
      </c>
      <c r="Z16" s="3">
        <v>0</v>
      </c>
      <c r="AA16" s="3">
        <v>0</v>
      </c>
      <c r="AB16" s="3">
        <v>5000000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x14ac:dyDescent="0.3">
      <c r="A17" s="1">
        <v>18</v>
      </c>
      <c r="B17" s="1" t="s">
        <v>47</v>
      </c>
      <c r="C17" s="2" t="s">
        <v>147</v>
      </c>
      <c r="D17" s="2" t="s">
        <v>151</v>
      </c>
      <c r="E17" s="3">
        <v>1049549</v>
      </c>
      <c r="F17" s="3">
        <v>38009</v>
      </c>
      <c r="G17" s="3">
        <v>166636879.82666141</v>
      </c>
      <c r="H17" s="3">
        <v>6818</v>
      </c>
      <c r="I17" s="3">
        <v>295454</v>
      </c>
      <c r="J17" s="3">
        <v>0</v>
      </c>
      <c r="K17" s="3">
        <v>0</v>
      </c>
      <c r="L17" s="3">
        <v>0</v>
      </c>
      <c r="M17" s="3">
        <v>54.54545454545454</v>
      </c>
      <c r="N17" s="3">
        <v>2000</v>
      </c>
      <c r="O17" s="3">
        <v>85454.545454545456</v>
      </c>
      <c r="P17" s="3">
        <v>0</v>
      </c>
      <c r="Q17" s="3">
        <v>0</v>
      </c>
      <c r="R17" s="3">
        <v>0</v>
      </c>
      <c r="S17" s="3">
        <v>28318344.034422964</v>
      </c>
      <c r="T17" s="3">
        <v>11350682.086453702</v>
      </c>
      <c r="U17" s="3">
        <v>0</v>
      </c>
      <c r="V17" s="3">
        <v>0</v>
      </c>
      <c r="W17" s="3">
        <v>17811368298.42672</v>
      </c>
      <c r="X17" s="3">
        <v>1733581.2991958582</v>
      </c>
      <c r="Y17" s="3">
        <v>121000</v>
      </c>
      <c r="Z17" s="3">
        <v>0</v>
      </c>
      <c r="AA17" s="3">
        <v>0</v>
      </c>
      <c r="AB17" s="3">
        <v>4660000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x14ac:dyDescent="0.3">
      <c r="A18" s="1">
        <v>19</v>
      </c>
      <c r="B18" s="1" t="s">
        <v>48</v>
      </c>
      <c r="C18" s="2" t="s">
        <v>145</v>
      </c>
      <c r="D18" s="2" t="s">
        <v>151</v>
      </c>
      <c r="E18" s="3">
        <v>33090909</v>
      </c>
      <c r="F18" s="3">
        <v>90000</v>
      </c>
      <c r="G18" s="3">
        <v>556500461.80930352</v>
      </c>
      <c r="H18" s="3">
        <v>51363</v>
      </c>
      <c r="I18" s="3">
        <v>283783</v>
      </c>
      <c r="J18" s="3">
        <v>0</v>
      </c>
      <c r="K18" s="3">
        <v>0</v>
      </c>
      <c r="L18" s="3">
        <v>1640.9090909090908</v>
      </c>
      <c r="M18" s="3">
        <v>0</v>
      </c>
      <c r="N18" s="3">
        <v>300000</v>
      </c>
      <c r="O18" s="3">
        <v>17450000</v>
      </c>
      <c r="P18" s="3">
        <v>0</v>
      </c>
      <c r="Q18" s="3">
        <v>0</v>
      </c>
      <c r="R18" s="3">
        <v>0</v>
      </c>
      <c r="S18" s="3">
        <v>0</v>
      </c>
      <c r="T18" s="3">
        <v>17496732.816444088</v>
      </c>
      <c r="U18" s="3">
        <v>0</v>
      </c>
      <c r="V18" s="3">
        <v>426976546.68555272</v>
      </c>
      <c r="W18" s="3">
        <v>2474330792.1692333</v>
      </c>
      <c r="X18" s="3">
        <v>822.41867683072473</v>
      </c>
      <c r="Y18" s="3">
        <v>1720000</v>
      </c>
      <c r="Z18" s="3">
        <v>0</v>
      </c>
      <c r="AA18" s="3">
        <v>2260000</v>
      </c>
      <c r="AB18" s="3">
        <v>0</v>
      </c>
      <c r="AC18" s="3">
        <v>0</v>
      </c>
      <c r="AD18" s="3">
        <v>0</v>
      </c>
      <c r="AE18" s="3">
        <v>0</v>
      </c>
      <c r="AF18" s="3">
        <v>82</v>
      </c>
      <c r="AG18" s="3">
        <v>0</v>
      </c>
      <c r="AH18" s="3">
        <v>42800</v>
      </c>
    </row>
    <row r="19" spans="1:34" x14ac:dyDescent="0.3">
      <c r="A19" s="1">
        <v>20</v>
      </c>
      <c r="B19" s="1" t="s">
        <v>49</v>
      </c>
      <c r="C19" s="2" t="s">
        <v>144</v>
      </c>
      <c r="D19" s="2" t="s">
        <v>151</v>
      </c>
      <c r="E19" s="3">
        <v>12272727</v>
      </c>
      <c r="F19" s="3">
        <v>365000</v>
      </c>
      <c r="G19" s="3">
        <v>1932336606.6270132</v>
      </c>
      <c r="H19" s="3">
        <v>13500</v>
      </c>
      <c r="I19" s="3">
        <v>1647619</v>
      </c>
      <c r="J19" s="3">
        <v>0</v>
      </c>
      <c r="K19" s="3">
        <v>72.72727272727272</v>
      </c>
      <c r="L19" s="3">
        <v>0</v>
      </c>
      <c r="M19" s="3">
        <v>0</v>
      </c>
      <c r="N19" s="3">
        <v>110000</v>
      </c>
      <c r="O19" s="3">
        <v>2425000</v>
      </c>
      <c r="P19" s="3">
        <v>0</v>
      </c>
      <c r="Q19" s="3">
        <v>0</v>
      </c>
      <c r="R19" s="3">
        <v>0</v>
      </c>
      <c r="S19" s="3">
        <v>0</v>
      </c>
      <c r="T19" s="3">
        <v>14229739.838809604</v>
      </c>
      <c r="U19" s="3">
        <v>58840302.837453343</v>
      </c>
      <c r="V19" s="3">
        <v>36555572.822539657</v>
      </c>
      <c r="W19" s="3">
        <v>11919535872.040548</v>
      </c>
      <c r="X19" s="3">
        <v>822215.97097405011</v>
      </c>
      <c r="Y19" s="3">
        <v>6780000</v>
      </c>
      <c r="Z19" s="3">
        <v>356000000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x14ac:dyDescent="0.3">
      <c r="A20" s="1">
        <v>21</v>
      </c>
      <c r="B20" s="1" t="s">
        <v>50</v>
      </c>
      <c r="C20" s="2" t="s">
        <v>147</v>
      </c>
      <c r="D20" s="2" t="s">
        <v>151</v>
      </c>
      <c r="E20" s="3">
        <v>2787330</v>
      </c>
      <c r="F20" s="3">
        <v>81981</v>
      </c>
      <c r="G20" s="3">
        <v>102719469.65523528</v>
      </c>
      <c r="H20" s="3">
        <v>2181</v>
      </c>
      <c r="I20" s="3">
        <v>1218181</v>
      </c>
      <c r="J20" s="3">
        <v>5</v>
      </c>
      <c r="K20" s="3">
        <v>0</v>
      </c>
      <c r="L20" s="3">
        <v>0</v>
      </c>
      <c r="M20" s="3">
        <v>10</v>
      </c>
      <c r="N20" s="3">
        <v>6000</v>
      </c>
      <c r="O20" s="3">
        <v>200909.09090909091</v>
      </c>
      <c r="P20" s="3">
        <v>0</v>
      </c>
      <c r="Q20" s="3">
        <v>0</v>
      </c>
      <c r="R20" s="3">
        <v>0</v>
      </c>
      <c r="S20" s="3">
        <v>27136382.986260898</v>
      </c>
      <c r="T20" s="3">
        <v>104024816.88718921</v>
      </c>
      <c r="U20" s="3">
        <v>0</v>
      </c>
      <c r="V20" s="3">
        <v>0</v>
      </c>
      <c r="W20" s="3">
        <v>5105228025.8645411</v>
      </c>
      <c r="X20" s="3">
        <v>1584924.7826493217</v>
      </c>
      <c r="Y20" s="3">
        <v>156000</v>
      </c>
      <c r="Z20" s="3">
        <v>0</v>
      </c>
      <c r="AA20" s="3">
        <v>0</v>
      </c>
      <c r="AB20" s="3">
        <v>770000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x14ac:dyDescent="0.3">
      <c r="A21" s="1">
        <v>23</v>
      </c>
      <c r="B21" s="1" t="s">
        <v>52</v>
      </c>
      <c r="C21" s="2" t="s">
        <v>146</v>
      </c>
      <c r="D21" s="2" t="s">
        <v>146</v>
      </c>
      <c r="E21" s="3">
        <v>940909</v>
      </c>
      <c r="F21" s="3">
        <v>41818</v>
      </c>
      <c r="G21" s="3">
        <v>67191080.154871747</v>
      </c>
      <c r="H21" s="3">
        <v>19545</v>
      </c>
      <c r="I21" s="3">
        <v>100900</v>
      </c>
      <c r="J21" s="3">
        <v>0</v>
      </c>
      <c r="K21" s="3">
        <v>0</v>
      </c>
      <c r="L21" s="3">
        <v>85</v>
      </c>
      <c r="M21" s="3">
        <v>0</v>
      </c>
      <c r="N21" s="3">
        <v>6216.2162162162149</v>
      </c>
      <c r="O21" s="3">
        <v>46818.181818181816</v>
      </c>
      <c r="P21" s="3">
        <v>379619.89086155198</v>
      </c>
      <c r="Q21" s="3">
        <v>0</v>
      </c>
      <c r="R21" s="3">
        <v>0</v>
      </c>
      <c r="S21" s="3">
        <v>0</v>
      </c>
      <c r="T21" s="3">
        <v>53483763.531483635</v>
      </c>
      <c r="U21" s="3">
        <v>0</v>
      </c>
      <c r="V21" s="3">
        <v>0</v>
      </c>
      <c r="W21" s="3">
        <v>1633268658.29392</v>
      </c>
      <c r="X21" s="3">
        <v>4086309.1518535698</v>
      </c>
      <c r="Y21" s="3">
        <v>314000</v>
      </c>
      <c r="Z21" s="3">
        <v>0</v>
      </c>
      <c r="AA21" s="3">
        <v>0</v>
      </c>
      <c r="AB21" s="3">
        <v>0</v>
      </c>
      <c r="AC21" s="3">
        <v>160</v>
      </c>
      <c r="AD21" s="3">
        <v>170</v>
      </c>
      <c r="AE21" s="3">
        <v>0</v>
      </c>
      <c r="AF21" s="3">
        <v>83</v>
      </c>
      <c r="AG21" s="3">
        <v>0</v>
      </c>
      <c r="AH21" s="3">
        <v>12800</v>
      </c>
    </row>
    <row r="22" spans="1:34" x14ac:dyDescent="0.3">
      <c r="A22" s="1">
        <v>24</v>
      </c>
      <c r="B22" s="1" t="s">
        <v>53</v>
      </c>
      <c r="C22" s="2" t="s">
        <v>144</v>
      </c>
      <c r="D22" s="2" t="s">
        <v>151</v>
      </c>
      <c r="E22" s="3">
        <v>16954545</v>
      </c>
      <c r="F22" s="3">
        <v>35909</v>
      </c>
      <c r="G22" s="3">
        <v>720428396.3940233</v>
      </c>
      <c r="H22" s="3">
        <v>26363</v>
      </c>
      <c r="I22" s="3">
        <v>118918</v>
      </c>
      <c r="J22" s="3">
        <v>0</v>
      </c>
      <c r="K22" s="3">
        <v>23428.571428571428</v>
      </c>
      <c r="L22" s="3">
        <v>0</v>
      </c>
      <c r="M22" s="3">
        <v>0</v>
      </c>
      <c r="N22" s="3">
        <v>2500</v>
      </c>
      <c r="O22" s="3">
        <v>527272.72727272729</v>
      </c>
      <c r="P22" s="3">
        <v>78393.482915275701</v>
      </c>
      <c r="Q22" s="3">
        <v>1590277.6669772801</v>
      </c>
      <c r="R22" s="3">
        <v>0</v>
      </c>
      <c r="S22" s="3">
        <v>0</v>
      </c>
      <c r="T22" s="3">
        <v>165613966.96514523</v>
      </c>
      <c r="U22" s="3">
        <v>49224360.942606464</v>
      </c>
      <c r="V22" s="3">
        <v>24920117.113047443</v>
      </c>
      <c r="W22" s="3">
        <v>6373079469.9484587</v>
      </c>
      <c r="X22" s="3">
        <v>355607.22144298477</v>
      </c>
      <c r="Y22" s="3">
        <v>964000</v>
      </c>
      <c r="Z22" s="3">
        <v>42200000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x14ac:dyDescent="0.3">
      <c r="A23" s="1">
        <v>25</v>
      </c>
      <c r="B23" s="1" t="s">
        <v>54</v>
      </c>
      <c r="C23" s="2" t="s">
        <v>145</v>
      </c>
      <c r="D23" s="2" t="s">
        <v>151</v>
      </c>
      <c r="E23" s="3">
        <v>12318181</v>
      </c>
      <c r="F23" s="3">
        <v>57272</v>
      </c>
      <c r="G23" s="3">
        <v>607729959.73051941</v>
      </c>
      <c r="H23" s="3">
        <v>36818</v>
      </c>
      <c r="I23" s="3">
        <v>29333333</v>
      </c>
      <c r="J23" s="3">
        <v>0</v>
      </c>
      <c r="K23" s="3">
        <v>0</v>
      </c>
      <c r="L23" s="3">
        <v>2349.9999999999995</v>
      </c>
      <c r="M23" s="3">
        <v>0</v>
      </c>
      <c r="N23" s="3">
        <v>5000</v>
      </c>
      <c r="O23" s="3">
        <v>8524999.9999999981</v>
      </c>
      <c r="P23" s="3">
        <v>0</v>
      </c>
      <c r="Q23" s="3">
        <v>32673.296960301501</v>
      </c>
      <c r="R23" s="3">
        <v>271958.07596315403</v>
      </c>
      <c r="S23" s="3">
        <v>0</v>
      </c>
      <c r="T23" s="3">
        <v>62049310.508699402</v>
      </c>
      <c r="U23" s="3">
        <v>0</v>
      </c>
      <c r="V23" s="3">
        <v>391322689.26667058</v>
      </c>
      <c r="W23" s="3">
        <v>3653354146.8294086</v>
      </c>
      <c r="X23" s="3">
        <v>15673.599428338086</v>
      </c>
      <c r="Y23" s="3">
        <v>1230000</v>
      </c>
      <c r="Z23" s="3">
        <v>0</v>
      </c>
      <c r="AA23" s="3">
        <v>2620000</v>
      </c>
      <c r="AB23" s="3">
        <v>0</v>
      </c>
      <c r="AC23" s="3">
        <v>54</v>
      </c>
      <c r="AD23" s="3">
        <v>0</v>
      </c>
      <c r="AE23" s="3">
        <v>0</v>
      </c>
      <c r="AF23" s="3">
        <v>140</v>
      </c>
      <c r="AG23" s="3">
        <v>0</v>
      </c>
      <c r="AH23" s="3">
        <v>1600</v>
      </c>
    </row>
    <row r="24" spans="1:34" x14ac:dyDescent="0.3">
      <c r="A24" s="1">
        <v>26</v>
      </c>
      <c r="B24" s="1" t="s">
        <v>55</v>
      </c>
      <c r="C24" s="2" t="s">
        <v>145</v>
      </c>
      <c r="D24" s="2" t="s">
        <v>151</v>
      </c>
      <c r="E24" s="3">
        <v>15630630</v>
      </c>
      <c r="F24" s="3">
        <v>81363</v>
      </c>
      <c r="G24" s="3">
        <v>74295440</v>
      </c>
      <c r="H24" s="3">
        <v>29090</v>
      </c>
      <c r="I24" s="3">
        <v>558558</v>
      </c>
      <c r="J24" s="3">
        <v>0</v>
      </c>
      <c r="K24" s="3">
        <v>10</v>
      </c>
      <c r="L24" s="3">
        <v>459.09090909090912</v>
      </c>
      <c r="M24" s="3">
        <v>0</v>
      </c>
      <c r="N24" s="3">
        <v>0</v>
      </c>
      <c r="O24" s="3">
        <v>2883333.333333333</v>
      </c>
      <c r="P24" s="3">
        <v>0</v>
      </c>
      <c r="Q24" s="3">
        <v>0</v>
      </c>
      <c r="R24" s="3">
        <v>0</v>
      </c>
      <c r="S24" s="3">
        <v>0</v>
      </c>
      <c r="T24" s="3">
        <v>102689717.70646071</v>
      </c>
      <c r="U24" s="3">
        <v>0</v>
      </c>
      <c r="V24" s="3">
        <v>202921356.13408461</v>
      </c>
      <c r="W24" s="3">
        <v>3112982814.5914626</v>
      </c>
      <c r="X24" s="3">
        <v>548418.72308111435</v>
      </c>
      <c r="Y24" s="3">
        <v>710000</v>
      </c>
      <c r="Z24" s="3">
        <v>0</v>
      </c>
      <c r="AA24" s="3">
        <v>5980000</v>
      </c>
      <c r="AB24" s="3">
        <v>0</v>
      </c>
      <c r="AC24" s="3">
        <v>52</v>
      </c>
      <c r="AD24" s="3">
        <v>0</v>
      </c>
      <c r="AE24" s="3">
        <v>0</v>
      </c>
      <c r="AF24" s="3">
        <v>88</v>
      </c>
      <c r="AG24" s="3">
        <v>0</v>
      </c>
      <c r="AH24" s="3">
        <v>22000</v>
      </c>
    </row>
    <row r="25" spans="1:34" x14ac:dyDescent="0.3">
      <c r="A25" s="1">
        <v>27</v>
      </c>
      <c r="B25" s="1" t="s">
        <v>56</v>
      </c>
      <c r="C25" s="2" t="s">
        <v>146</v>
      </c>
      <c r="D25" s="2" t="s">
        <v>146</v>
      </c>
      <c r="E25" s="3">
        <v>241803</v>
      </c>
      <c r="F25" s="3">
        <v>245000</v>
      </c>
      <c r="G25" s="3">
        <v>1397774322.0449517</v>
      </c>
      <c r="H25" s="3">
        <v>6416</v>
      </c>
      <c r="I25" s="3">
        <v>352380</v>
      </c>
      <c r="J25" s="3">
        <v>840</v>
      </c>
      <c r="K25" s="3">
        <v>0</v>
      </c>
      <c r="L25" s="3">
        <v>0</v>
      </c>
      <c r="M25" s="3">
        <v>0</v>
      </c>
      <c r="P25" s="3">
        <v>6027992.6216044417</v>
      </c>
      <c r="Q25" s="3">
        <v>0</v>
      </c>
      <c r="R25" s="3">
        <v>0</v>
      </c>
      <c r="S25" s="3">
        <v>0</v>
      </c>
      <c r="T25" s="3">
        <v>8672769.1982788108</v>
      </c>
      <c r="U25" s="3">
        <v>0</v>
      </c>
      <c r="V25" s="3">
        <v>0</v>
      </c>
      <c r="W25" s="3">
        <v>4795715046.5128498</v>
      </c>
      <c r="X25" s="3">
        <v>10617967.153386755</v>
      </c>
      <c r="Y25" s="3">
        <v>41800</v>
      </c>
      <c r="Z25" s="3">
        <v>0</v>
      </c>
      <c r="AA25" s="3">
        <v>0</v>
      </c>
      <c r="AB25" s="3">
        <v>0</v>
      </c>
      <c r="AH25" s="3">
        <v>1032507.18231255</v>
      </c>
    </row>
    <row r="26" spans="1:34" x14ac:dyDescent="0.3">
      <c r="A26" s="1">
        <v>28</v>
      </c>
      <c r="B26" s="1" t="s">
        <v>57</v>
      </c>
      <c r="C26" s="2" t="s">
        <v>146</v>
      </c>
      <c r="D26" s="2" t="s">
        <v>146</v>
      </c>
      <c r="E26" s="3">
        <v>368181</v>
      </c>
      <c r="F26" s="3">
        <v>590476</v>
      </c>
      <c r="G26" s="3">
        <v>468650281.24158233</v>
      </c>
      <c r="H26" s="3">
        <v>5285</v>
      </c>
      <c r="I26" s="3">
        <v>12380</v>
      </c>
      <c r="J26" s="3">
        <v>300</v>
      </c>
      <c r="K26" s="3">
        <v>0</v>
      </c>
      <c r="L26" s="3">
        <v>0</v>
      </c>
      <c r="M26" s="3">
        <v>0</v>
      </c>
      <c r="P26" s="3">
        <v>5992072.1044557989</v>
      </c>
      <c r="Q26" s="3">
        <v>0</v>
      </c>
      <c r="R26" s="3">
        <v>0</v>
      </c>
      <c r="S26" s="3">
        <v>0</v>
      </c>
      <c r="T26" s="3">
        <v>5066402.8658201797</v>
      </c>
      <c r="U26" s="3">
        <v>0</v>
      </c>
      <c r="V26" s="3">
        <v>0</v>
      </c>
      <c r="W26" s="3">
        <v>8844891629.1920967</v>
      </c>
      <c r="X26" s="3">
        <v>27424864.615658566</v>
      </c>
      <c r="Y26" s="3">
        <v>149000</v>
      </c>
      <c r="Z26" s="3">
        <v>0</v>
      </c>
      <c r="AA26" s="3">
        <v>0</v>
      </c>
      <c r="AB26" s="3">
        <v>0</v>
      </c>
      <c r="AH26" s="3">
        <v>0</v>
      </c>
    </row>
    <row r="27" spans="1:34" x14ac:dyDescent="0.3">
      <c r="A27" s="1">
        <v>29</v>
      </c>
      <c r="B27" s="1" t="s">
        <v>220</v>
      </c>
      <c r="C27" s="2" t="s">
        <v>146</v>
      </c>
      <c r="D27" s="2" t="s">
        <v>146</v>
      </c>
      <c r="E27" s="3">
        <v>125000</v>
      </c>
      <c r="F27" s="3">
        <v>46000</v>
      </c>
      <c r="G27" s="3">
        <v>507308077.41039062</v>
      </c>
      <c r="H27" s="3">
        <v>4290</v>
      </c>
      <c r="I27" s="3">
        <v>58600</v>
      </c>
      <c r="J27" s="3">
        <v>213.63636363636365</v>
      </c>
      <c r="K27" s="3">
        <v>0</v>
      </c>
      <c r="L27" s="3">
        <v>0</v>
      </c>
      <c r="M27" s="3">
        <v>10</v>
      </c>
      <c r="N27" s="3">
        <v>1150000</v>
      </c>
      <c r="O27" s="3">
        <v>1600000</v>
      </c>
      <c r="P27" s="3">
        <v>12050000</v>
      </c>
      <c r="Q27" s="3">
        <v>0</v>
      </c>
      <c r="R27" s="3">
        <v>0</v>
      </c>
      <c r="S27" s="3">
        <v>0</v>
      </c>
      <c r="T27" s="3">
        <v>24322709.901823178</v>
      </c>
      <c r="U27" s="3">
        <v>366.60605559646717</v>
      </c>
      <c r="V27" s="3">
        <v>0</v>
      </c>
      <c r="W27" s="3">
        <v>1808688414.0010052</v>
      </c>
      <c r="X27" s="3">
        <v>19071352.553954419</v>
      </c>
      <c r="Y27" s="3">
        <v>420000</v>
      </c>
      <c r="Z27" s="3">
        <v>0</v>
      </c>
      <c r="AA27" s="3">
        <v>0</v>
      </c>
      <c r="AB27" s="3">
        <v>20600</v>
      </c>
      <c r="AC27" s="3">
        <v>89</v>
      </c>
      <c r="AD27" s="3">
        <v>340</v>
      </c>
      <c r="AE27" s="3">
        <v>0</v>
      </c>
      <c r="AF27" s="3">
        <v>170</v>
      </c>
      <c r="AG27" s="3">
        <v>36800</v>
      </c>
      <c r="AH27" s="3">
        <v>73600</v>
      </c>
    </row>
    <row r="28" spans="1:34" x14ac:dyDescent="0.3">
      <c r="A28" s="1">
        <v>30</v>
      </c>
      <c r="B28" s="1" t="s">
        <v>59</v>
      </c>
      <c r="C28" s="2" t="s">
        <v>146</v>
      </c>
      <c r="D28" s="2" t="s">
        <v>146</v>
      </c>
      <c r="E28" s="3">
        <v>249000</v>
      </c>
      <c r="F28" s="3">
        <v>189000</v>
      </c>
      <c r="G28" s="3">
        <v>2270773468.3897295</v>
      </c>
      <c r="H28" s="3">
        <v>9650</v>
      </c>
      <c r="I28" s="3">
        <v>500000</v>
      </c>
      <c r="J28" s="3">
        <v>1854.5454545454545</v>
      </c>
      <c r="K28" s="3">
        <v>0</v>
      </c>
      <c r="L28" s="3">
        <v>10</v>
      </c>
      <c r="M28" s="3">
        <v>280</v>
      </c>
      <c r="N28" s="3">
        <v>4910000</v>
      </c>
      <c r="O28" s="3">
        <v>8550000</v>
      </c>
      <c r="P28" s="3">
        <v>17300000</v>
      </c>
      <c r="Q28" s="3">
        <v>0</v>
      </c>
      <c r="R28" s="3">
        <v>0</v>
      </c>
      <c r="S28" s="3">
        <v>0</v>
      </c>
      <c r="T28" s="3">
        <v>44348298.29223308</v>
      </c>
      <c r="U28" s="3">
        <v>0</v>
      </c>
      <c r="V28" s="3">
        <v>7436.1280247182403</v>
      </c>
      <c r="W28" s="3">
        <v>5253157656.3434629</v>
      </c>
      <c r="X28" s="3">
        <v>61724384.250219226</v>
      </c>
      <c r="Y28" s="3">
        <v>476000</v>
      </c>
      <c r="Z28" s="3">
        <v>0</v>
      </c>
      <c r="AA28" s="3">
        <v>131000</v>
      </c>
      <c r="AB28" s="3">
        <v>108000</v>
      </c>
      <c r="AC28" s="3">
        <v>250</v>
      </c>
      <c r="AD28" s="3">
        <v>960</v>
      </c>
      <c r="AE28" s="3">
        <v>0</v>
      </c>
      <c r="AF28" s="3">
        <v>450</v>
      </c>
      <c r="AG28" s="3">
        <v>231000</v>
      </c>
      <c r="AH28" s="3">
        <v>120000</v>
      </c>
    </row>
    <row r="29" spans="1:34" x14ac:dyDescent="0.3">
      <c r="A29" s="1">
        <v>31</v>
      </c>
      <c r="B29" s="1" t="s">
        <v>60</v>
      </c>
      <c r="C29" s="2" t="s">
        <v>144</v>
      </c>
      <c r="D29" s="2" t="s">
        <v>151</v>
      </c>
      <c r="E29" s="3">
        <v>9360</v>
      </c>
      <c r="F29" s="3">
        <v>291</v>
      </c>
      <c r="G29" s="3">
        <v>42722345.166538015</v>
      </c>
      <c r="H29" s="3">
        <v>118</v>
      </c>
      <c r="I29" s="3">
        <v>709</v>
      </c>
      <c r="J29" s="3">
        <v>0</v>
      </c>
      <c r="K29" s="3">
        <v>0</v>
      </c>
      <c r="L29" s="3">
        <v>0</v>
      </c>
      <c r="M29" s="3">
        <v>0</v>
      </c>
      <c r="N29" s="3">
        <v>2820</v>
      </c>
      <c r="O29" s="3">
        <v>564000</v>
      </c>
      <c r="P29" s="3">
        <v>0</v>
      </c>
      <c r="Q29" s="3">
        <v>0</v>
      </c>
      <c r="R29" s="3">
        <v>0</v>
      </c>
      <c r="S29" s="3">
        <v>0</v>
      </c>
      <c r="T29" s="3">
        <v>20168191.667486846</v>
      </c>
      <c r="U29" s="3">
        <v>168442454.97621077</v>
      </c>
      <c r="V29" s="3">
        <v>0</v>
      </c>
      <c r="W29" s="3">
        <v>5243269178.0351543</v>
      </c>
      <c r="X29" s="3">
        <v>0</v>
      </c>
      <c r="Y29" s="3">
        <v>534000</v>
      </c>
      <c r="Z29" s="3">
        <v>384000</v>
      </c>
      <c r="AA29" s="3">
        <v>0</v>
      </c>
      <c r="AB29" s="3">
        <v>0</v>
      </c>
      <c r="AC29" s="3">
        <v>240</v>
      </c>
      <c r="AD29" s="3">
        <v>910</v>
      </c>
      <c r="AE29" s="3">
        <v>0</v>
      </c>
      <c r="AF29" s="3">
        <v>340</v>
      </c>
      <c r="AG29" s="3">
        <v>0</v>
      </c>
      <c r="AH29" s="3">
        <v>0</v>
      </c>
    </row>
    <row r="30" spans="1:34" x14ac:dyDescent="0.3">
      <c r="A30" s="1">
        <v>33</v>
      </c>
      <c r="B30" s="1" t="s">
        <v>62</v>
      </c>
      <c r="C30" s="2" t="s">
        <v>147</v>
      </c>
      <c r="D30" s="2" t="s">
        <v>151</v>
      </c>
      <c r="E30" s="3">
        <v>5180000</v>
      </c>
      <c r="F30" s="3">
        <v>1260000</v>
      </c>
      <c r="G30" s="3">
        <v>233990612.06568393</v>
      </c>
      <c r="H30" s="3">
        <v>4180</v>
      </c>
      <c r="I30" s="3">
        <v>207000</v>
      </c>
      <c r="J30" s="3">
        <v>0</v>
      </c>
      <c r="K30" s="3">
        <v>0</v>
      </c>
      <c r="L30" s="3">
        <v>0</v>
      </c>
      <c r="M30" s="3">
        <v>0</v>
      </c>
      <c r="N30" s="3">
        <v>3000000</v>
      </c>
      <c r="O30" s="3">
        <v>7550000</v>
      </c>
      <c r="P30" s="3">
        <v>0</v>
      </c>
      <c r="Q30" s="3">
        <v>0</v>
      </c>
      <c r="R30" s="3">
        <v>0</v>
      </c>
      <c r="S30" s="3">
        <v>109937.50582536204</v>
      </c>
      <c r="T30" s="3">
        <v>4933747.9617458405</v>
      </c>
      <c r="U30" s="3">
        <v>0</v>
      </c>
      <c r="V30" s="3">
        <v>8979.9777282574596</v>
      </c>
      <c r="W30" s="3">
        <v>54100361.564073667</v>
      </c>
      <c r="X30" s="3">
        <v>0</v>
      </c>
      <c r="Y30" s="3">
        <v>0</v>
      </c>
      <c r="Z30" s="3">
        <v>0</v>
      </c>
      <c r="AA30" s="3">
        <v>0</v>
      </c>
      <c r="AB30" s="3">
        <v>29600000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x14ac:dyDescent="0.3">
      <c r="A31" s="1">
        <v>34</v>
      </c>
      <c r="B31" s="1" t="s">
        <v>63</v>
      </c>
      <c r="C31" s="2" t="s">
        <v>146</v>
      </c>
      <c r="D31" s="2" t="s">
        <v>146</v>
      </c>
      <c r="E31" s="3">
        <v>486000</v>
      </c>
      <c r="F31" s="3">
        <v>226000</v>
      </c>
      <c r="G31" s="3">
        <v>467141721.03652483</v>
      </c>
      <c r="H31" s="3">
        <v>10800</v>
      </c>
      <c r="I31" s="3">
        <v>141000</v>
      </c>
      <c r="J31" s="3">
        <v>0</v>
      </c>
      <c r="K31" s="3">
        <v>0</v>
      </c>
      <c r="L31" s="3">
        <v>0</v>
      </c>
      <c r="M31" s="3">
        <v>0</v>
      </c>
      <c r="N31" s="3">
        <v>4050000</v>
      </c>
      <c r="O31" s="3">
        <v>7030000</v>
      </c>
      <c r="P31" s="3">
        <v>21350000</v>
      </c>
      <c r="Q31" s="3">
        <v>0</v>
      </c>
      <c r="R31" s="3">
        <v>0</v>
      </c>
      <c r="S31" s="3">
        <v>0</v>
      </c>
      <c r="T31" s="3">
        <v>61252943.006175727</v>
      </c>
      <c r="U31" s="3">
        <v>0</v>
      </c>
      <c r="V31" s="3">
        <v>0</v>
      </c>
      <c r="W31" s="3">
        <v>5935169611.4400635</v>
      </c>
      <c r="X31" s="3">
        <v>49903885.940345965</v>
      </c>
      <c r="Y31" s="3">
        <v>588000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237200</v>
      </c>
    </row>
    <row r="32" spans="1:34" x14ac:dyDescent="0.3">
      <c r="A32" s="1">
        <v>36</v>
      </c>
      <c r="B32" s="1" t="s">
        <v>65</v>
      </c>
      <c r="C32" s="2" t="s">
        <v>144</v>
      </c>
      <c r="D32" s="2" t="s">
        <v>151</v>
      </c>
      <c r="E32" s="3">
        <v>38200</v>
      </c>
      <c r="F32" s="3">
        <v>7400</v>
      </c>
      <c r="G32" s="3">
        <v>44345581.61464116</v>
      </c>
      <c r="H32" s="3">
        <v>155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10500</v>
      </c>
      <c r="O32" s="3">
        <v>13800</v>
      </c>
      <c r="P32" s="3">
        <v>0</v>
      </c>
      <c r="Q32" s="3">
        <v>0</v>
      </c>
      <c r="R32" s="3">
        <v>0</v>
      </c>
      <c r="S32" s="3">
        <v>0</v>
      </c>
      <c r="T32" s="3">
        <v>21934713.183826637</v>
      </c>
      <c r="U32" s="3">
        <v>347569992.32127964</v>
      </c>
      <c r="V32" s="3">
        <v>0</v>
      </c>
      <c r="W32" s="3">
        <v>5850967600</v>
      </c>
      <c r="X32" s="3">
        <v>0</v>
      </c>
      <c r="Y32" s="3">
        <v>402000</v>
      </c>
      <c r="Z32" s="3">
        <v>5900000</v>
      </c>
      <c r="AA32" s="3">
        <v>30400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x14ac:dyDescent="0.3">
      <c r="A33" s="1">
        <v>37</v>
      </c>
      <c r="B33" s="1" t="s">
        <v>66</v>
      </c>
      <c r="C33" s="2" t="s">
        <v>145</v>
      </c>
      <c r="D33" s="2" t="s">
        <v>151</v>
      </c>
      <c r="E33" s="3">
        <v>255000</v>
      </c>
      <c r="F33" s="3">
        <v>8800</v>
      </c>
      <c r="G33" s="3">
        <v>129563854.3992143</v>
      </c>
      <c r="H33" s="3">
        <v>1910</v>
      </c>
      <c r="I33" s="3">
        <v>32700</v>
      </c>
      <c r="J33" s="3">
        <v>0</v>
      </c>
      <c r="K33" s="3">
        <v>0</v>
      </c>
      <c r="L33" s="3">
        <v>0</v>
      </c>
      <c r="M33" s="3">
        <v>0</v>
      </c>
      <c r="N33" s="3">
        <v>47300</v>
      </c>
      <c r="O33" s="3">
        <v>473000</v>
      </c>
      <c r="P33" s="3">
        <v>0</v>
      </c>
      <c r="Q33" s="3">
        <v>10150000</v>
      </c>
      <c r="R33" s="3">
        <v>0</v>
      </c>
      <c r="S33" s="3">
        <v>0</v>
      </c>
      <c r="T33" s="3">
        <v>26113612.780120824</v>
      </c>
      <c r="U33" s="3">
        <v>0</v>
      </c>
      <c r="V33" s="3">
        <v>453828457.24036658</v>
      </c>
      <c r="W33" s="3">
        <v>8854387719.2714615</v>
      </c>
      <c r="X33" s="3">
        <v>0</v>
      </c>
      <c r="Y33" s="3">
        <v>0</v>
      </c>
      <c r="Z33" s="3">
        <v>0</v>
      </c>
      <c r="AA33" s="3">
        <v>1150000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x14ac:dyDescent="0.3">
      <c r="A34" s="1">
        <v>38</v>
      </c>
      <c r="B34" s="1" t="s">
        <v>67</v>
      </c>
      <c r="C34" s="2" t="s">
        <v>147</v>
      </c>
      <c r="D34" s="2" t="s">
        <v>151</v>
      </c>
      <c r="E34" s="3">
        <v>1910000</v>
      </c>
      <c r="F34" s="3">
        <v>330000</v>
      </c>
      <c r="G34" s="3">
        <v>25141313.664325498</v>
      </c>
      <c r="H34" s="3">
        <v>70</v>
      </c>
      <c r="I34" s="3">
        <v>4360</v>
      </c>
      <c r="J34" s="3">
        <v>0</v>
      </c>
      <c r="K34" s="3">
        <v>0</v>
      </c>
      <c r="L34" s="3">
        <v>0</v>
      </c>
      <c r="M34" s="3">
        <v>0</v>
      </c>
      <c r="N34" s="3">
        <v>11200000</v>
      </c>
      <c r="O34" s="3">
        <v>12300000</v>
      </c>
      <c r="P34" s="3">
        <v>0</v>
      </c>
      <c r="Q34" s="3">
        <v>0</v>
      </c>
      <c r="R34" s="3">
        <v>0</v>
      </c>
      <c r="S34" s="3">
        <v>0</v>
      </c>
      <c r="T34" s="3">
        <v>15778908.580987513</v>
      </c>
      <c r="U34" s="3">
        <v>0</v>
      </c>
      <c r="V34" s="3">
        <v>0</v>
      </c>
      <c r="W34" s="3">
        <v>24943474.398054495</v>
      </c>
      <c r="X34" s="3">
        <v>0</v>
      </c>
      <c r="Y34" s="3">
        <v>0</v>
      </c>
      <c r="Z34" s="3">
        <v>0</v>
      </c>
      <c r="AA34" s="3">
        <v>0</v>
      </c>
      <c r="AB34" s="3">
        <v>1000000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x14ac:dyDescent="0.3">
      <c r="A35" s="1">
        <v>39</v>
      </c>
      <c r="B35" s="1" t="s">
        <v>68</v>
      </c>
      <c r="C35" s="2" t="s">
        <v>146</v>
      </c>
      <c r="D35" s="2" t="s">
        <v>146</v>
      </c>
      <c r="E35" s="3">
        <v>203000</v>
      </c>
      <c r="F35" s="3">
        <v>84500</v>
      </c>
      <c r="G35" s="3">
        <v>1150929118.015892</v>
      </c>
      <c r="H35" s="3">
        <v>7840</v>
      </c>
      <c r="I35" s="3">
        <v>636000</v>
      </c>
      <c r="J35" s="3">
        <v>3450</v>
      </c>
      <c r="K35" s="3">
        <v>0</v>
      </c>
      <c r="L35" s="3">
        <v>100</v>
      </c>
      <c r="M35" s="3">
        <v>220</v>
      </c>
      <c r="N35" s="3">
        <v>4450000</v>
      </c>
      <c r="O35" s="3">
        <v>5770000</v>
      </c>
      <c r="P35" s="3">
        <v>20500000</v>
      </c>
      <c r="Q35" s="3">
        <v>0</v>
      </c>
      <c r="R35" s="3">
        <v>0</v>
      </c>
      <c r="S35" s="3">
        <v>0</v>
      </c>
      <c r="T35" s="3">
        <v>16191868.197027106</v>
      </c>
      <c r="U35" s="3">
        <v>0</v>
      </c>
      <c r="V35" s="3">
        <v>0</v>
      </c>
      <c r="W35" s="3">
        <v>2341681054.6921201</v>
      </c>
      <c r="X35" s="3">
        <v>23977415.117895924</v>
      </c>
      <c r="Y35" s="3">
        <v>748000</v>
      </c>
      <c r="Z35" s="3">
        <v>0</v>
      </c>
      <c r="AA35" s="3">
        <v>0</v>
      </c>
      <c r="AB35" s="3">
        <v>0</v>
      </c>
      <c r="AC35" s="3">
        <v>180</v>
      </c>
      <c r="AD35" s="3">
        <v>400</v>
      </c>
      <c r="AE35" s="3">
        <v>0</v>
      </c>
      <c r="AF35" s="3">
        <v>160</v>
      </c>
      <c r="AG35" s="3">
        <v>67500</v>
      </c>
      <c r="AH35" s="3">
        <v>43200</v>
      </c>
    </row>
    <row r="36" spans="1:34" x14ac:dyDescent="0.3">
      <c r="A36" s="1">
        <v>40</v>
      </c>
      <c r="B36" s="1" t="s">
        <v>69</v>
      </c>
      <c r="C36" s="2" t="s">
        <v>146</v>
      </c>
      <c r="D36" s="2" t="s">
        <v>146</v>
      </c>
      <c r="E36" s="3">
        <v>491000</v>
      </c>
      <c r="F36" s="3">
        <v>135000</v>
      </c>
      <c r="G36" s="3">
        <v>2237085414.5401874</v>
      </c>
      <c r="H36" s="3">
        <v>6560</v>
      </c>
      <c r="I36" s="3">
        <v>131000</v>
      </c>
      <c r="J36" s="3">
        <v>7659.090909090909</v>
      </c>
      <c r="K36" s="3">
        <v>0</v>
      </c>
      <c r="L36" s="3">
        <v>5</v>
      </c>
      <c r="M36" s="3">
        <v>145</v>
      </c>
      <c r="N36" s="3">
        <v>2180000</v>
      </c>
      <c r="O36" s="3">
        <v>3910000</v>
      </c>
      <c r="P36" s="3">
        <v>8650000</v>
      </c>
      <c r="Q36" s="3">
        <v>0</v>
      </c>
      <c r="R36" s="3">
        <v>0</v>
      </c>
      <c r="S36" s="3">
        <v>0</v>
      </c>
      <c r="T36" s="3">
        <v>92011468.055654109</v>
      </c>
      <c r="U36" s="3">
        <v>0</v>
      </c>
      <c r="V36" s="3">
        <v>13623.039308465641</v>
      </c>
      <c r="W36" s="3">
        <v>1913209451.2543974</v>
      </c>
      <c r="X36" s="3">
        <v>37454404.39176783</v>
      </c>
      <c r="Y36" s="3">
        <v>894000</v>
      </c>
      <c r="Z36" s="3">
        <v>0</v>
      </c>
      <c r="AA36" s="3">
        <v>22200</v>
      </c>
      <c r="AB36" s="3">
        <v>19200</v>
      </c>
      <c r="AC36" s="3">
        <v>260</v>
      </c>
      <c r="AD36" s="3">
        <v>770</v>
      </c>
      <c r="AE36" s="3">
        <v>0</v>
      </c>
      <c r="AF36" s="3">
        <v>330</v>
      </c>
      <c r="AG36" s="3">
        <v>71300</v>
      </c>
      <c r="AH36" s="3">
        <v>61200</v>
      </c>
    </row>
    <row r="37" spans="1:34" x14ac:dyDescent="0.3">
      <c r="A37" s="1">
        <v>41</v>
      </c>
      <c r="B37" s="1" t="s">
        <v>70</v>
      </c>
      <c r="C37" s="2" t="s">
        <v>148</v>
      </c>
      <c r="D37" s="2" t="s">
        <v>151</v>
      </c>
      <c r="E37" s="3">
        <v>290000</v>
      </c>
      <c r="F37" s="3">
        <v>29000</v>
      </c>
      <c r="G37" s="3">
        <v>1628625.854148214</v>
      </c>
      <c r="H37" s="3">
        <v>10</v>
      </c>
      <c r="I37" s="3">
        <v>315000</v>
      </c>
      <c r="J37" s="3">
        <v>0</v>
      </c>
      <c r="K37" s="3">
        <v>0</v>
      </c>
      <c r="L37" s="3">
        <v>0</v>
      </c>
      <c r="M37" s="3">
        <v>0</v>
      </c>
      <c r="N37" s="3">
        <v>327000</v>
      </c>
      <c r="O37" s="3">
        <v>11100000</v>
      </c>
      <c r="P37" s="3">
        <v>0</v>
      </c>
      <c r="Q37" s="3">
        <v>0</v>
      </c>
      <c r="R37" s="3">
        <v>0</v>
      </c>
      <c r="S37" s="3">
        <v>0</v>
      </c>
      <c r="T37" s="3">
        <v>23247537.663386051</v>
      </c>
      <c r="U37" s="3">
        <v>0</v>
      </c>
      <c r="V37" s="3">
        <v>0</v>
      </c>
      <c r="W37" s="3">
        <v>6548774252.5001125</v>
      </c>
      <c r="X37" s="3">
        <v>0</v>
      </c>
      <c r="Y37" s="3">
        <v>784000</v>
      </c>
      <c r="Z37" s="3">
        <v>0</v>
      </c>
      <c r="AA37" s="3">
        <v>17300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spans="1:34" x14ac:dyDescent="0.3">
      <c r="A38" s="1">
        <v>42</v>
      </c>
      <c r="B38" s="1" t="s">
        <v>71</v>
      </c>
      <c r="C38" s="2" t="s">
        <v>144</v>
      </c>
      <c r="D38" s="2" t="s">
        <v>151</v>
      </c>
      <c r="E38" s="3">
        <v>9090000</v>
      </c>
      <c r="F38" s="3">
        <v>8100</v>
      </c>
      <c r="G38" s="3">
        <v>34514780.444070622</v>
      </c>
      <c r="H38" s="3">
        <v>10</v>
      </c>
      <c r="I38" s="3">
        <v>5640</v>
      </c>
      <c r="J38" s="3">
        <v>0</v>
      </c>
      <c r="K38" s="3">
        <v>0</v>
      </c>
      <c r="L38" s="3">
        <v>0</v>
      </c>
      <c r="M38" s="3">
        <v>0</v>
      </c>
      <c r="N38" s="3">
        <v>54500</v>
      </c>
      <c r="O38" s="3">
        <v>1650000</v>
      </c>
      <c r="P38" s="3">
        <v>54500000</v>
      </c>
      <c r="Q38" s="3">
        <v>0</v>
      </c>
      <c r="R38" s="3">
        <v>0</v>
      </c>
      <c r="S38" s="3">
        <v>0</v>
      </c>
      <c r="T38" s="3">
        <v>322115749.71475077</v>
      </c>
      <c r="U38" s="3">
        <v>548896190.93953335</v>
      </c>
      <c r="V38" s="3">
        <v>0</v>
      </c>
      <c r="W38" s="3">
        <v>5580049966.6704664</v>
      </c>
      <c r="X38" s="3">
        <v>0</v>
      </c>
      <c r="Y38" s="3">
        <v>450000</v>
      </c>
      <c r="Z38" s="3">
        <v>9120000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x14ac:dyDescent="0.3">
      <c r="A39" s="1">
        <v>43</v>
      </c>
      <c r="B39" s="1" t="s">
        <v>72</v>
      </c>
      <c r="C39" s="2" t="s">
        <v>145</v>
      </c>
      <c r="D39" s="2" t="s">
        <v>151</v>
      </c>
      <c r="E39" s="3">
        <v>4000000</v>
      </c>
      <c r="F39" s="3">
        <v>2430000</v>
      </c>
      <c r="G39" s="3">
        <v>13283357.802694317</v>
      </c>
      <c r="H39" s="3">
        <v>10</v>
      </c>
      <c r="I39" s="3">
        <v>564000</v>
      </c>
      <c r="J39" s="3">
        <v>0</v>
      </c>
      <c r="K39" s="3">
        <v>0</v>
      </c>
      <c r="L39" s="3">
        <v>0</v>
      </c>
      <c r="M39" s="3">
        <v>0</v>
      </c>
      <c r="N39" s="3">
        <v>3690000</v>
      </c>
      <c r="O39" s="3">
        <v>3690000</v>
      </c>
      <c r="P39" s="3">
        <v>2095289.1301662601</v>
      </c>
      <c r="Q39" s="3">
        <v>0</v>
      </c>
      <c r="R39" s="3">
        <v>1760000</v>
      </c>
      <c r="S39" s="3">
        <v>0</v>
      </c>
      <c r="T39" s="3">
        <v>35835375.534120768</v>
      </c>
      <c r="U39" s="3">
        <v>0</v>
      </c>
      <c r="V39" s="3">
        <v>1172806034.1142724</v>
      </c>
      <c r="W39" s="3">
        <v>19947197915.15398</v>
      </c>
      <c r="X39" s="3">
        <v>0</v>
      </c>
      <c r="Y39" s="3">
        <v>0</v>
      </c>
      <c r="Z39" s="3">
        <v>0</v>
      </c>
      <c r="AA39" s="3">
        <v>1020000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x14ac:dyDescent="0.3">
      <c r="A40" s="1">
        <v>44</v>
      </c>
      <c r="B40" s="1" t="s">
        <v>221</v>
      </c>
      <c r="C40" s="2" t="s">
        <v>146</v>
      </c>
      <c r="D40" s="2" t="s">
        <v>146</v>
      </c>
      <c r="E40" s="3">
        <v>198000</v>
      </c>
      <c r="F40" s="3">
        <v>46000</v>
      </c>
      <c r="G40" s="3">
        <v>670421546.65162718</v>
      </c>
      <c r="H40" s="3">
        <v>2620</v>
      </c>
      <c r="I40" s="3">
        <v>245000</v>
      </c>
      <c r="J40" s="3">
        <v>440.90909090909088</v>
      </c>
      <c r="K40" s="3">
        <v>0</v>
      </c>
      <c r="L40" s="3">
        <v>0</v>
      </c>
      <c r="M40" s="3">
        <v>0</v>
      </c>
      <c r="N40" s="3">
        <v>360000</v>
      </c>
      <c r="O40" s="3">
        <v>1570000</v>
      </c>
      <c r="P40" s="3">
        <v>1268851.9749404001</v>
      </c>
      <c r="Q40" s="3">
        <v>0</v>
      </c>
      <c r="R40" s="3">
        <v>0</v>
      </c>
      <c r="S40" s="3">
        <v>0</v>
      </c>
      <c r="T40" s="3">
        <v>44924883.543795675</v>
      </c>
      <c r="U40" s="3">
        <v>0</v>
      </c>
      <c r="V40" s="3">
        <v>0</v>
      </c>
      <c r="W40" s="3">
        <v>1330745212.2237892</v>
      </c>
      <c r="X40" s="3">
        <v>24681204.831024636</v>
      </c>
      <c r="Y40" s="3">
        <v>1690000</v>
      </c>
      <c r="Z40" s="3">
        <v>0</v>
      </c>
      <c r="AA40" s="3">
        <v>0</v>
      </c>
      <c r="AB40" s="3">
        <v>0</v>
      </c>
      <c r="AC40" s="3">
        <v>140</v>
      </c>
      <c r="AD40" s="3">
        <v>540</v>
      </c>
      <c r="AE40" s="3">
        <v>0</v>
      </c>
      <c r="AF40" s="3">
        <v>210</v>
      </c>
      <c r="AG40" s="3">
        <v>19700</v>
      </c>
      <c r="AH40" s="3">
        <v>11200</v>
      </c>
    </row>
    <row r="41" spans="1:34" x14ac:dyDescent="0.3">
      <c r="A41" s="1">
        <v>45</v>
      </c>
      <c r="B41" s="1" t="s">
        <v>222</v>
      </c>
      <c r="C41" s="2" t="s">
        <v>146</v>
      </c>
      <c r="D41" s="2" t="s">
        <v>146</v>
      </c>
      <c r="E41" s="3">
        <v>327000</v>
      </c>
      <c r="F41" s="3">
        <v>92700</v>
      </c>
      <c r="G41" s="3">
        <v>537771501.40739739</v>
      </c>
      <c r="H41" s="3">
        <v>7570</v>
      </c>
      <c r="I41" s="3">
        <v>418000</v>
      </c>
      <c r="J41" s="3">
        <v>2472.7272727272725</v>
      </c>
      <c r="K41" s="3">
        <v>0</v>
      </c>
      <c r="L41" s="3">
        <v>0</v>
      </c>
      <c r="M41" s="3">
        <v>5</v>
      </c>
      <c r="N41" s="3">
        <v>2820000</v>
      </c>
      <c r="O41" s="3">
        <v>4640000</v>
      </c>
      <c r="P41" s="3">
        <v>1129533.0945774601</v>
      </c>
      <c r="Q41" s="3">
        <v>0</v>
      </c>
      <c r="R41" s="3">
        <v>0</v>
      </c>
      <c r="S41" s="3">
        <v>0</v>
      </c>
      <c r="T41" s="3">
        <v>173273425.0185807</v>
      </c>
      <c r="U41" s="3">
        <v>0</v>
      </c>
      <c r="V41" s="3">
        <v>0</v>
      </c>
      <c r="W41" s="3">
        <v>3215549866.1815114</v>
      </c>
      <c r="X41" s="3">
        <v>24771886.621434502</v>
      </c>
      <c r="Y41" s="3">
        <v>176000</v>
      </c>
      <c r="Z41" s="3">
        <v>0</v>
      </c>
      <c r="AA41" s="3">
        <v>0</v>
      </c>
      <c r="AB41" s="3">
        <v>0</v>
      </c>
      <c r="AC41" s="3">
        <v>260</v>
      </c>
      <c r="AD41" s="3">
        <v>520</v>
      </c>
      <c r="AE41" s="3">
        <v>0</v>
      </c>
      <c r="AF41" s="3">
        <v>290</v>
      </c>
      <c r="AG41" s="3">
        <v>787000</v>
      </c>
      <c r="AH41" s="3">
        <v>25200</v>
      </c>
    </row>
    <row r="42" spans="1:34" x14ac:dyDescent="0.3">
      <c r="A42" s="1">
        <v>47</v>
      </c>
      <c r="B42" s="1" t="s">
        <v>223</v>
      </c>
      <c r="C42" s="2" t="s">
        <v>145</v>
      </c>
      <c r="D42" s="2" t="s">
        <v>151</v>
      </c>
      <c r="E42" s="3">
        <v>1520000</v>
      </c>
      <c r="F42" s="3">
        <v>29000</v>
      </c>
      <c r="G42" s="3">
        <v>1074518.1614100342</v>
      </c>
      <c r="H42" s="3">
        <v>3450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236000</v>
      </c>
      <c r="O42" s="3">
        <v>423000</v>
      </c>
      <c r="P42" s="3">
        <v>1278109.1971108699</v>
      </c>
      <c r="Q42" s="3">
        <v>0</v>
      </c>
      <c r="R42" s="3">
        <v>0</v>
      </c>
      <c r="S42" s="3">
        <v>0</v>
      </c>
      <c r="T42" s="3">
        <v>93207736.176381797</v>
      </c>
      <c r="U42" s="3">
        <v>0</v>
      </c>
      <c r="V42" s="3">
        <v>219791352.83544528</v>
      </c>
      <c r="W42" s="3">
        <v>1756293450.5785255</v>
      </c>
      <c r="X42" s="3">
        <v>0</v>
      </c>
      <c r="Y42" s="3">
        <v>0</v>
      </c>
      <c r="Z42" s="3">
        <v>0</v>
      </c>
      <c r="AA42" s="3">
        <v>1090000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x14ac:dyDescent="0.3">
      <c r="A43" s="1">
        <v>48</v>
      </c>
      <c r="B43" s="1" t="s">
        <v>224</v>
      </c>
      <c r="C43" s="2" t="s">
        <v>148</v>
      </c>
      <c r="D43" s="2" t="s">
        <v>151</v>
      </c>
      <c r="E43" s="3">
        <v>3180000</v>
      </c>
      <c r="F43" s="3">
        <v>8380</v>
      </c>
      <c r="G43" s="3">
        <v>36392527.86625848</v>
      </c>
      <c r="H43" s="3">
        <v>10</v>
      </c>
      <c r="I43" s="3">
        <v>2270</v>
      </c>
      <c r="J43" s="3">
        <v>0</v>
      </c>
      <c r="K43" s="3">
        <v>0</v>
      </c>
      <c r="L43" s="3">
        <v>0</v>
      </c>
      <c r="M43" s="3">
        <v>0</v>
      </c>
      <c r="N43" s="3">
        <v>273000</v>
      </c>
      <c r="O43" s="3">
        <v>1080000</v>
      </c>
      <c r="P43" s="3">
        <v>0</v>
      </c>
      <c r="Q43" s="3">
        <v>0</v>
      </c>
      <c r="R43" s="3">
        <v>0</v>
      </c>
      <c r="S43" s="3">
        <v>0</v>
      </c>
      <c r="T43" s="3">
        <v>69699066.256363705</v>
      </c>
      <c r="U43" s="3">
        <v>0</v>
      </c>
      <c r="V43" s="3">
        <v>0</v>
      </c>
      <c r="W43" s="3">
        <v>4295704365.525671</v>
      </c>
      <c r="X43" s="3">
        <v>279.07619031368478</v>
      </c>
      <c r="Y43" s="3">
        <v>29800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1:34" x14ac:dyDescent="0.3">
      <c r="A44" s="1">
        <v>49</v>
      </c>
      <c r="B44" s="1" t="s">
        <v>78</v>
      </c>
      <c r="C44" s="2" t="s">
        <v>146</v>
      </c>
      <c r="D44" s="2" t="s">
        <v>146</v>
      </c>
      <c r="E44" s="3">
        <v>315000</v>
      </c>
      <c r="F44" s="3">
        <v>186000</v>
      </c>
      <c r="G44" s="3">
        <v>17174456.295603655</v>
      </c>
      <c r="H44" s="3">
        <v>20800</v>
      </c>
      <c r="I44" s="3">
        <v>26500</v>
      </c>
      <c r="J44" s="3">
        <v>495.45454545454538</v>
      </c>
      <c r="K44" s="3">
        <v>0</v>
      </c>
      <c r="L44" s="3">
        <v>0</v>
      </c>
      <c r="M44" s="3">
        <v>0</v>
      </c>
      <c r="N44" s="3">
        <v>2750000</v>
      </c>
      <c r="O44" s="3">
        <v>2750000</v>
      </c>
      <c r="P44" s="3">
        <v>33250000</v>
      </c>
      <c r="Q44" s="3">
        <v>0</v>
      </c>
      <c r="R44" s="3">
        <v>0</v>
      </c>
      <c r="S44" s="3">
        <v>0</v>
      </c>
      <c r="T44" s="3">
        <v>43497265.954598941</v>
      </c>
      <c r="U44" s="3">
        <v>0</v>
      </c>
      <c r="V44" s="3">
        <v>0</v>
      </c>
      <c r="W44" s="3">
        <v>35694910.651598498</v>
      </c>
      <c r="X44" s="3">
        <v>476043.79013363889</v>
      </c>
      <c r="Y44" s="3">
        <v>123000</v>
      </c>
      <c r="Z44" s="3">
        <v>0</v>
      </c>
      <c r="AA44" s="3">
        <v>0</v>
      </c>
      <c r="AB44" s="3">
        <v>0</v>
      </c>
      <c r="AC44" s="3">
        <v>310</v>
      </c>
      <c r="AD44" s="3">
        <v>280</v>
      </c>
      <c r="AE44" s="3">
        <v>0</v>
      </c>
      <c r="AF44" s="3">
        <v>110</v>
      </c>
      <c r="AG44" s="3">
        <v>202000</v>
      </c>
      <c r="AH44" s="3">
        <v>0</v>
      </c>
    </row>
    <row r="45" spans="1:34" x14ac:dyDescent="0.3">
      <c r="A45" s="1">
        <v>50</v>
      </c>
      <c r="B45" s="1" t="s">
        <v>79</v>
      </c>
      <c r="C45" s="2" t="s">
        <v>145</v>
      </c>
      <c r="D45" s="2" t="s">
        <v>151</v>
      </c>
      <c r="E45" s="3">
        <v>2530000</v>
      </c>
      <c r="F45" s="3">
        <v>900000</v>
      </c>
      <c r="G45" s="3">
        <v>1366055943.9920857</v>
      </c>
      <c r="H45" s="3">
        <v>2070000</v>
      </c>
      <c r="I45" s="3">
        <v>5700000</v>
      </c>
      <c r="J45" s="3">
        <v>0</v>
      </c>
      <c r="K45" s="3">
        <v>0</v>
      </c>
      <c r="L45" s="3">
        <v>895.45454545454538</v>
      </c>
      <c r="M45" s="3">
        <v>0</v>
      </c>
      <c r="N45" s="3">
        <v>300000</v>
      </c>
      <c r="O45" s="3">
        <v>8800000</v>
      </c>
      <c r="P45" s="3">
        <v>0</v>
      </c>
      <c r="Q45" s="3">
        <v>0</v>
      </c>
      <c r="R45" s="3">
        <v>0</v>
      </c>
      <c r="S45" s="3">
        <v>0</v>
      </c>
      <c r="T45" s="3">
        <v>62451368.565334558</v>
      </c>
      <c r="U45" s="3">
        <v>0</v>
      </c>
      <c r="V45" s="3">
        <v>6858996897.270154</v>
      </c>
      <c r="W45" s="3">
        <v>39066171632.915565</v>
      </c>
      <c r="X45" s="3">
        <v>0</v>
      </c>
      <c r="Y45" s="3">
        <v>43000</v>
      </c>
      <c r="Z45" s="3">
        <v>0</v>
      </c>
      <c r="AA45" s="3">
        <v>6580000</v>
      </c>
      <c r="AB45" s="3">
        <v>0</v>
      </c>
      <c r="AC45" s="3">
        <v>51</v>
      </c>
      <c r="AD45" s="3">
        <v>71</v>
      </c>
      <c r="AE45" s="3">
        <v>0</v>
      </c>
      <c r="AF45" s="3">
        <v>120</v>
      </c>
      <c r="AG45" s="3">
        <v>0</v>
      </c>
      <c r="AH45" s="3">
        <v>64800</v>
      </c>
    </row>
    <row r="46" spans="1:34" x14ac:dyDescent="0.3">
      <c r="A46" s="1">
        <v>51</v>
      </c>
      <c r="B46" s="1" t="s">
        <v>80</v>
      </c>
      <c r="C46" s="2" t="s">
        <v>144</v>
      </c>
      <c r="D46" s="2" t="s">
        <v>151</v>
      </c>
      <c r="E46" s="3">
        <v>9650000</v>
      </c>
      <c r="F46" s="3">
        <v>950000</v>
      </c>
      <c r="G46" s="3">
        <v>22093829850.340492</v>
      </c>
      <c r="H46" s="3">
        <v>271000</v>
      </c>
      <c r="I46" s="3">
        <v>2660000</v>
      </c>
      <c r="J46" s="3">
        <v>0</v>
      </c>
      <c r="K46" s="3">
        <v>0</v>
      </c>
      <c r="L46" s="3">
        <v>0</v>
      </c>
      <c r="M46" s="3">
        <v>0</v>
      </c>
      <c r="N46" s="3">
        <v>8500000</v>
      </c>
      <c r="O46" s="3">
        <v>13500000</v>
      </c>
      <c r="P46" s="3">
        <v>0</v>
      </c>
      <c r="Q46" s="3">
        <v>7300000</v>
      </c>
      <c r="R46" s="3">
        <v>0</v>
      </c>
      <c r="S46" s="3">
        <v>0</v>
      </c>
      <c r="T46" s="3">
        <v>474582762.4913497</v>
      </c>
      <c r="U46" s="3">
        <v>30991729328.775185</v>
      </c>
      <c r="V46" s="3">
        <v>0</v>
      </c>
      <c r="W46" s="3">
        <v>464222213342.65765</v>
      </c>
      <c r="X46" s="3">
        <v>20878.850543073488</v>
      </c>
      <c r="Y46" s="3">
        <v>0</v>
      </c>
      <c r="Z46" s="3">
        <v>143000000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1900</v>
      </c>
      <c r="AG46" s="3">
        <v>0</v>
      </c>
      <c r="AH46" s="3">
        <v>0</v>
      </c>
    </row>
    <row r="47" spans="1:34" x14ac:dyDescent="0.3">
      <c r="A47" s="1">
        <v>52</v>
      </c>
      <c r="B47" s="1" t="s">
        <v>81</v>
      </c>
      <c r="C47" s="2" t="s">
        <v>147</v>
      </c>
      <c r="D47" s="2" t="s">
        <v>151</v>
      </c>
      <c r="E47" s="3">
        <v>1770000</v>
      </c>
      <c r="F47" s="3">
        <v>550000</v>
      </c>
      <c r="G47" s="3">
        <v>9504333.1959714741</v>
      </c>
      <c r="H47" s="3">
        <v>70</v>
      </c>
      <c r="I47" s="3">
        <v>1900000</v>
      </c>
      <c r="J47" s="3">
        <v>0</v>
      </c>
      <c r="K47" s="3">
        <v>0</v>
      </c>
      <c r="L47" s="3">
        <v>90</v>
      </c>
      <c r="M47" s="3">
        <v>25000</v>
      </c>
      <c r="N47" s="3">
        <v>1050000</v>
      </c>
      <c r="O47" s="3">
        <v>17500000</v>
      </c>
      <c r="P47" s="3">
        <v>0</v>
      </c>
      <c r="Q47" s="3">
        <v>0</v>
      </c>
      <c r="R47" s="3">
        <v>0</v>
      </c>
      <c r="S47" s="3">
        <v>106461.56379354245</v>
      </c>
      <c r="T47" s="3">
        <v>31696912.42807835</v>
      </c>
      <c r="U47" s="3">
        <v>0</v>
      </c>
      <c r="V47" s="3">
        <v>0</v>
      </c>
      <c r="W47" s="3">
        <v>57043940.155043684</v>
      </c>
      <c r="X47" s="3">
        <v>2362352.509806172</v>
      </c>
      <c r="Y47" s="3">
        <v>0</v>
      </c>
      <c r="Z47" s="3">
        <v>0</v>
      </c>
      <c r="AA47" s="3">
        <v>205000</v>
      </c>
      <c r="AB47" s="3">
        <v>13500000</v>
      </c>
      <c r="AC47" s="3">
        <v>0</v>
      </c>
      <c r="AD47" s="3">
        <v>0</v>
      </c>
      <c r="AE47" s="3">
        <v>0</v>
      </c>
      <c r="AF47" s="3">
        <v>360</v>
      </c>
      <c r="AG47" s="3">
        <v>0</v>
      </c>
      <c r="AH47" s="3">
        <v>0</v>
      </c>
    </row>
    <row r="48" spans="1:34" x14ac:dyDescent="0.3">
      <c r="A48" s="1">
        <v>53</v>
      </c>
      <c r="B48" s="1" t="s">
        <v>225</v>
      </c>
      <c r="C48" s="2" t="s">
        <v>146</v>
      </c>
      <c r="D48" s="2" t="s">
        <v>146</v>
      </c>
      <c r="E48" s="3">
        <v>36500</v>
      </c>
      <c r="F48" s="3">
        <v>21000</v>
      </c>
      <c r="G48" s="3">
        <v>144206904.43666559</v>
      </c>
      <c r="H48" s="3">
        <v>505</v>
      </c>
      <c r="I48" s="3">
        <v>6150</v>
      </c>
      <c r="J48" s="3">
        <v>1625</v>
      </c>
      <c r="K48" s="3">
        <v>0</v>
      </c>
      <c r="L48" s="3">
        <v>0</v>
      </c>
      <c r="M48" s="3">
        <v>0</v>
      </c>
      <c r="N48" s="3">
        <v>80000</v>
      </c>
      <c r="O48" s="3">
        <v>420000</v>
      </c>
      <c r="P48" s="3">
        <v>14750000</v>
      </c>
      <c r="Q48" s="3">
        <v>0</v>
      </c>
      <c r="R48" s="3">
        <v>0</v>
      </c>
      <c r="S48" s="3">
        <v>0</v>
      </c>
      <c r="T48" s="3">
        <v>8324956.2527169939</v>
      </c>
      <c r="U48" s="3">
        <v>2886.6589684269948</v>
      </c>
      <c r="V48" s="3">
        <v>1693.2808390813379</v>
      </c>
      <c r="W48" s="3">
        <v>1112530364.8416624</v>
      </c>
      <c r="X48" s="3">
        <v>22842575.452824552</v>
      </c>
      <c r="Y48" s="3">
        <v>582000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54</v>
      </c>
      <c r="AG48" s="3">
        <v>0</v>
      </c>
      <c r="AH48" s="3">
        <v>12800</v>
      </c>
    </row>
    <row r="49" spans="1:34" x14ac:dyDescent="0.3">
      <c r="A49" s="1">
        <v>55</v>
      </c>
      <c r="B49" s="1" t="s">
        <v>226</v>
      </c>
      <c r="C49" s="2" t="s">
        <v>144</v>
      </c>
      <c r="D49" s="2" t="s">
        <v>151</v>
      </c>
      <c r="E49" s="3">
        <v>37500000</v>
      </c>
      <c r="F49" s="3">
        <v>2750000</v>
      </c>
      <c r="G49" s="3">
        <v>11670876073.621553</v>
      </c>
      <c r="H49" s="3">
        <v>25000</v>
      </c>
      <c r="I49" s="3">
        <v>1500000</v>
      </c>
      <c r="J49" s="3">
        <v>0</v>
      </c>
      <c r="K49" s="3">
        <v>0</v>
      </c>
      <c r="L49" s="3">
        <v>0</v>
      </c>
      <c r="M49" s="3">
        <v>0</v>
      </c>
      <c r="N49" s="3">
        <v>6500000</v>
      </c>
      <c r="O49" s="3">
        <v>9500000</v>
      </c>
      <c r="P49" s="3">
        <v>0</v>
      </c>
      <c r="Q49" s="3">
        <v>14900000</v>
      </c>
      <c r="R49" s="3">
        <v>0</v>
      </c>
      <c r="S49" s="3">
        <v>0</v>
      </c>
      <c r="T49" s="3">
        <v>345833420.3870427</v>
      </c>
      <c r="U49" s="3">
        <v>44204968265.963593</v>
      </c>
      <c r="V49" s="3">
        <v>0</v>
      </c>
      <c r="W49" s="3">
        <v>524357821103.40558</v>
      </c>
      <c r="X49" s="3">
        <v>0</v>
      </c>
      <c r="Y49" s="3">
        <v>64000</v>
      </c>
      <c r="Z49" s="3">
        <v>158000000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x14ac:dyDescent="0.3">
      <c r="A50" s="1">
        <v>56</v>
      </c>
      <c r="B50" s="1" t="s">
        <v>227</v>
      </c>
      <c r="C50" s="2" t="s">
        <v>147</v>
      </c>
      <c r="D50" s="2" t="s">
        <v>151</v>
      </c>
      <c r="E50" s="3">
        <v>5500000</v>
      </c>
      <c r="F50" s="3">
        <v>40000</v>
      </c>
      <c r="G50" s="3">
        <v>17859201.79851272</v>
      </c>
      <c r="H50" s="3">
        <v>288</v>
      </c>
      <c r="I50" s="3">
        <v>600000</v>
      </c>
      <c r="J50" s="3">
        <v>0</v>
      </c>
      <c r="K50" s="3">
        <v>20</v>
      </c>
      <c r="L50" s="3">
        <v>0</v>
      </c>
      <c r="M50" s="3">
        <v>0</v>
      </c>
      <c r="N50" s="3">
        <v>6000000</v>
      </c>
      <c r="O50" s="3">
        <v>29500000</v>
      </c>
      <c r="P50" s="3">
        <v>0</v>
      </c>
      <c r="Q50" s="3">
        <v>0</v>
      </c>
      <c r="R50" s="3">
        <v>0</v>
      </c>
      <c r="S50" s="3">
        <v>359283.39903712919</v>
      </c>
      <c r="T50" s="3">
        <v>38723264.262524545</v>
      </c>
      <c r="U50" s="3">
        <v>0</v>
      </c>
      <c r="V50" s="3">
        <v>0</v>
      </c>
      <c r="W50" s="3">
        <v>487796769.76790243</v>
      </c>
      <c r="X50" s="3">
        <v>2067764.2221777607</v>
      </c>
      <c r="Y50" s="3">
        <v>0</v>
      </c>
      <c r="Z50" s="3">
        <v>0</v>
      </c>
      <c r="AA50" s="3">
        <v>0</v>
      </c>
      <c r="AB50" s="3">
        <v>1800000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800</v>
      </c>
    </row>
    <row r="51" spans="1:34" x14ac:dyDescent="0.3">
      <c r="A51" s="1">
        <v>57</v>
      </c>
      <c r="B51" s="1" t="s">
        <v>86</v>
      </c>
      <c r="C51" s="2" t="s">
        <v>146</v>
      </c>
      <c r="D51" s="2" t="s">
        <v>146</v>
      </c>
      <c r="E51" s="3">
        <v>62500</v>
      </c>
      <c r="F51" s="3">
        <v>95000</v>
      </c>
      <c r="G51" s="3">
        <v>516162715.44250464</v>
      </c>
      <c r="H51" s="3">
        <v>887</v>
      </c>
      <c r="I51" s="3">
        <v>8100</v>
      </c>
      <c r="J51" s="3">
        <v>2331.8181818181815</v>
      </c>
      <c r="K51" s="3">
        <v>0</v>
      </c>
      <c r="L51" s="3">
        <v>0</v>
      </c>
      <c r="M51" s="3">
        <v>0</v>
      </c>
      <c r="N51" s="3">
        <v>3550000</v>
      </c>
      <c r="O51" s="3">
        <v>3550000</v>
      </c>
      <c r="P51" s="3">
        <v>52500000</v>
      </c>
      <c r="Q51" s="3">
        <v>0</v>
      </c>
      <c r="R51" s="3">
        <v>0</v>
      </c>
      <c r="S51" s="3">
        <v>0</v>
      </c>
      <c r="T51" s="3">
        <v>14984317.269993044</v>
      </c>
      <c r="U51" s="3">
        <v>0</v>
      </c>
      <c r="V51" s="3">
        <v>0</v>
      </c>
      <c r="W51" s="3">
        <v>670243207.41584253</v>
      </c>
      <c r="X51" s="3">
        <v>29455874.32032644</v>
      </c>
      <c r="Y51" s="3">
        <v>14600000</v>
      </c>
      <c r="Z51" s="3">
        <v>0</v>
      </c>
      <c r="AA51" s="3">
        <v>0</v>
      </c>
      <c r="AB51" s="3">
        <v>0</v>
      </c>
      <c r="AC51" s="3">
        <v>210</v>
      </c>
      <c r="AD51" s="3">
        <v>430</v>
      </c>
      <c r="AE51" s="3">
        <v>0</v>
      </c>
      <c r="AF51" s="3">
        <v>130</v>
      </c>
      <c r="AG51" s="3">
        <v>0</v>
      </c>
      <c r="AH51" s="3">
        <v>0</v>
      </c>
    </row>
    <row r="52" spans="1:34" x14ac:dyDescent="0.3">
      <c r="A52" s="1">
        <v>58</v>
      </c>
      <c r="B52" s="1" t="s">
        <v>87</v>
      </c>
      <c r="C52" s="2" t="s">
        <v>147</v>
      </c>
      <c r="D52" s="2" t="s">
        <v>151</v>
      </c>
      <c r="E52" s="3">
        <v>12200000</v>
      </c>
      <c r="F52" s="3">
        <v>550000</v>
      </c>
      <c r="G52" s="3">
        <v>183001545.08882159</v>
      </c>
      <c r="H52" s="3">
        <v>580000</v>
      </c>
      <c r="I52" s="3">
        <v>4000000</v>
      </c>
      <c r="J52" s="3">
        <v>385</v>
      </c>
      <c r="K52" s="3">
        <v>0</v>
      </c>
      <c r="L52" s="3">
        <v>0</v>
      </c>
      <c r="M52" s="3">
        <v>0</v>
      </c>
      <c r="N52" s="3">
        <v>3150000</v>
      </c>
      <c r="O52" s="3">
        <v>19500000</v>
      </c>
      <c r="P52" s="3">
        <v>0</v>
      </c>
      <c r="Q52" s="3">
        <v>0</v>
      </c>
      <c r="R52" s="3">
        <v>0</v>
      </c>
      <c r="S52" s="3">
        <v>14683.578688202033</v>
      </c>
      <c r="T52" s="3">
        <v>45215981.240516201</v>
      </c>
      <c r="U52" s="3">
        <v>0</v>
      </c>
      <c r="V52" s="3">
        <v>0</v>
      </c>
      <c r="W52" s="3">
        <v>70929945.357486352</v>
      </c>
      <c r="X52" s="3">
        <v>641009.67176478705</v>
      </c>
      <c r="Y52" s="3">
        <v>0</v>
      </c>
      <c r="Z52" s="3">
        <v>0</v>
      </c>
      <c r="AA52" s="3">
        <v>0</v>
      </c>
      <c r="AB52" s="3">
        <v>13700000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x14ac:dyDescent="0.3">
      <c r="A53" s="1">
        <v>59</v>
      </c>
      <c r="B53" s="1" t="s">
        <v>88</v>
      </c>
      <c r="C53" s="2" t="s">
        <v>145</v>
      </c>
      <c r="D53" s="2" t="s">
        <v>151</v>
      </c>
      <c r="E53" s="3">
        <v>60500000</v>
      </c>
      <c r="F53" s="3">
        <v>3750000</v>
      </c>
      <c r="G53" s="3">
        <v>86175786.309055522</v>
      </c>
      <c r="H53" s="3">
        <v>100000</v>
      </c>
      <c r="I53" s="3">
        <v>48500000</v>
      </c>
      <c r="J53" s="3">
        <v>0</v>
      </c>
      <c r="K53" s="3">
        <v>0</v>
      </c>
      <c r="L53" s="3">
        <v>2133.3333333333335</v>
      </c>
      <c r="M53" s="3">
        <v>0</v>
      </c>
      <c r="N53" s="3">
        <v>144000000</v>
      </c>
      <c r="O53" s="3">
        <v>590000000</v>
      </c>
      <c r="P53" s="3">
        <v>0</v>
      </c>
      <c r="Q53" s="3">
        <v>0</v>
      </c>
      <c r="R53" s="3">
        <v>0</v>
      </c>
      <c r="S53" s="3">
        <v>0</v>
      </c>
      <c r="T53" s="3">
        <v>41574492.834701002</v>
      </c>
      <c r="U53" s="3">
        <v>0</v>
      </c>
      <c r="V53" s="3">
        <v>12901325.208210202</v>
      </c>
      <c r="W53" s="3">
        <v>2383236748.0807981</v>
      </c>
      <c r="X53" s="3">
        <v>0</v>
      </c>
      <c r="Y53" s="3">
        <v>0</v>
      </c>
      <c r="Z53" s="3">
        <v>0</v>
      </c>
      <c r="AA53" s="3">
        <v>17600000</v>
      </c>
      <c r="AB53" s="3">
        <v>0</v>
      </c>
      <c r="AC53" s="3">
        <v>0</v>
      </c>
      <c r="AD53" s="3">
        <v>0</v>
      </c>
      <c r="AE53" s="3">
        <v>0</v>
      </c>
      <c r="AF53" s="3">
        <v>550</v>
      </c>
      <c r="AG53" s="3">
        <v>0</v>
      </c>
      <c r="AH53" s="3">
        <v>4400</v>
      </c>
    </row>
    <row r="54" spans="1:34" x14ac:dyDescent="0.3">
      <c r="A54" s="1">
        <v>60</v>
      </c>
      <c r="B54" s="1" t="s">
        <v>89</v>
      </c>
      <c r="C54" s="2" t="s">
        <v>144</v>
      </c>
      <c r="D54" s="2" t="s">
        <v>151</v>
      </c>
      <c r="E54" s="3">
        <v>12500000</v>
      </c>
      <c r="F54" s="3">
        <v>800000</v>
      </c>
      <c r="G54" s="3">
        <v>6482061716.3195839</v>
      </c>
      <c r="H54" s="3">
        <v>1840</v>
      </c>
      <c r="I54" s="3">
        <v>21500000</v>
      </c>
      <c r="J54" s="3">
        <v>0</v>
      </c>
      <c r="K54" s="3">
        <v>0</v>
      </c>
      <c r="L54" s="3">
        <v>0</v>
      </c>
      <c r="M54" s="3">
        <v>0</v>
      </c>
      <c r="N54" s="3">
        <v>27500000</v>
      </c>
      <c r="O54" s="3">
        <v>110000000</v>
      </c>
      <c r="P54" s="3">
        <v>0</v>
      </c>
      <c r="Q54" s="3">
        <v>10900000</v>
      </c>
      <c r="R54" s="3">
        <v>0</v>
      </c>
      <c r="S54" s="3">
        <v>0</v>
      </c>
      <c r="T54" s="3">
        <v>576052359.71084261</v>
      </c>
      <c r="U54" s="3">
        <v>42258998376.479462</v>
      </c>
      <c r="V54" s="3">
        <v>0</v>
      </c>
      <c r="W54" s="3">
        <v>539777084385.60126</v>
      </c>
      <c r="X54" s="3">
        <v>0</v>
      </c>
      <c r="Y54" s="3">
        <v>0</v>
      </c>
      <c r="Z54" s="3">
        <v>171000000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x14ac:dyDescent="0.3">
      <c r="A55" s="1">
        <v>61</v>
      </c>
      <c r="B55" s="1" t="s">
        <v>228</v>
      </c>
      <c r="C55" s="2" t="s">
        <v>146</v>
      </c>
      <c r="D55" s="2" t="s">
        <v>146</v>
      </c>
      <c r="E55" s="3">
        <v>445000</v>
      </c>
      <c r="F55" s="3">
        <v>24000</v>
      </c>
      <c r="G55" s="3">
        <v>9018890688.3694305</v>
      </c>
      <c r="H55" s="3">
        <v>11400</v>
      </c>
      <c r="I55" s="3">
        <v>3000</v>
      </c>
      <c r="J55" s="3">
        <v>6409.090909090909</v>
      </c>
      <c r="K55" s="3">
        <v>0</v>
      </c>
      <c r="L55" s="3">
        <v>0</v>
      </c>
      <c r="M55" s="3">
        <v>0</v>
      </c>
      <c r="N55" s="3">
        <v>1500000</v>
      </c>
      <c r="O55" s="3">
        <v>1700000</v>
      </c>
      <c r="P55" s="3">
        <v>37600000</v>
      </c>
      <c r="Q55" s="3">
        <v>0</v>
      </c>
      <c r="R55" s="3">
        <v>0</v>
      </c>
      <c r="S55" s="3">
        <v>0</v>
      </c>
      <c r="T55" s="3">
        <v>9596038.0197634175</v>
      </c>
      <c r="U55" s="3">
        <v>0</v>
      </c>
      <c r="V55" s="3">
        <v>0</v>
      </c>
      <c r="W55" s="3">
        <v>2396366748.0871735</v>
      </c>
      <c r="X55" s="3">
        <v>15071071.305348933</v>
      </c>
      <c r="Y55" s="3">
        <v>169000</v>
      </c>
      <c r="Z55" s="3">
        <v>446000</v>
      </c>
      <c r="AA55" s="3">
        <v>0</v>
      </c>
      <c r="AB55" s="3">
        <v>0</v>
      </c>
      <c r="AC55" s="3">
        <v>100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x14ac:dyDescent="0.3">
      <c r="A56" s="1">
        <v>62</v>
      </c>
      <c r="B56" s="1" t="s">
        <v>229</v>
      </c>
      <c r="C56" s="2" t="s">
        <v>146</v>
      </c>
      <c r="D56" s="2" t="s">
        <v>146</v>
      </c>
      <c r="E56" s="3">
        <v>165000</v>
      </c>
      <c r="F56" s="3">
        <v>42000</v>
      </c>
      <c r="G56" s="3">
        <v>3110903994.7701259</v>
      </c>
      <c r="H56" s="3">
        <v>4100</v>
      </c>
      <c r="I56" s="3">
        <v>3500</v>
      </c>
      <c r="J56" s="3">
        <v>1713.6363636363635</v>
      </c>
      <c r="K56" s="3">
        <v>0</v>
      </c>
      <c r="L56" s="3">
        <v>0</v>
      </c>
      <c r="M56" s="3">
        <v>0</v>
      </c>
      <c r="N56" s="3">
        <v>1100000</v>
      </c>
      <c r="O56" s="3">
        <v>1200000</v>
      </c>
      <c r="P56" s="3">
        <v>28100000</v>
      </c>
      <c r="Q56" s="3">
        <v>0</v>
      </c>
      <c r="R56" s="3">
        <v>0</v>
      </c>
      <c r="S56" s="3">
        <v>0</v>
      </c>
      <c r="T56" s="3">
        <v>17384089.930383287</v>
      </c>
      <c r="U56" s="3">
        <v>0</v>
      </c>
      <c r="V56" s="3">
        <v>0</v>
      </c>
      <c r="W56" s="3">
        <v>1216862044.6108589</v>
      </c>
      <c r="X56" s="3">
        <v>14310236.942441382</v>
      </c>
      <c r="Y56" s="3">
        <v>90000</v>
      </c>
      <c r="Z56" s="3">
        <v>0</v>
      </c>
      <c r="AA56" s="3">
        <v>0</v>
      </c>
      <c r="AB56" s="3">
        <v>0</v>
      </c>
      <c r="AC56" s="3">
        <v>69</v>
      </c>
      <c r="AD56" s="3">
        <v>0</v>
      </c>
      <c r="AE56" s="3">
        <v>0</v>
      </c>
      <c r="AF56" s="3">
        <v>0</v>
      </c>
      <c r="AG56" s="3">
        <v>0</v>
      </c>
      <c r="AH56" s="3">
        <v>16400</v>
      </c>
    </row>
    <row r="57" spans="1:34" x14ac:dyDescent="0.3">
      <c r="A57" s="1">
        <v>63</v>
      </c>
      <c r="B57" s="1" t="s">
        <v>230</v>
      </c>
      <c r="C57" s="2" t="s">
        <v>144</v>
      </c>
      <c r="D57" s="2" t="s">
        <v>151</v>
      </c>
      <c r="E57" s="3">
        <v>595000000</v>
      </c>
      <c r="F57" s="3">
        <v>57000000</v>
      </c>
      <c r="G57" s="3">
        <v>10189388677.119694</v>
      </c>
      <c r="H57" s="3">
        <v>239500</v>
      </c>
      <c r="I57" s="3">
        <v>49500000</v>
      </c>
      <c r="J57" s="3">
        <v>0</v>
      </c>
      <c r="K57" s="3">
        <v>0</v>
      </c>
      <c r="L57" s="3">
        <v>0</v>
      </c>
      <c r="M57" s="3">
        <v>0</v>
      </c>
      <c r="N57" s="3">
        <v>8500000</v>
      </c>
      <c r="O57" s="3">
        <v>11800000</v>
      </c>
      <c r="P57" s="3">
        <v>0</v>
      </c>
      <c r="Q57" s="3">
        <v>0</v>
      </c>
      <c r="R57" s="3">
        <v>0</v>
      </c>
      <c r="S57" s="3">
        <v>0</v>
      </c>
      <c r="T57" s="3">
        <v>108135168.16962105</v>
      </c>
      <c r="U57" s="3">
        <v>22380948952.926548</v>
      </c>
      <c r="V57" s="3">
        <v>0</v>
      </c>
      <c r="W57" s="3">
        <v>439409010501.15594</v>
      </c>
      <c r="X57" s="3">
        <v>0</v>
      </c>
      <c r="Y57" s="3">
        <v>0</v>
      </c>
      <c r="Z57" s="3">
        <v>66600000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x14ac:dyDescent="0.3">
      <c r="A58" s="1">
        <v>65</v>
      </c>
      <c r="B58" s="1" t="s">
        <v>231</v>
      </c>
      <c r="C58" s="2" t="s">
        <v>145</v>
      </c>
      <c r="D58" s="2" t="s">
        <v>151</v>
      </c>
      <c r="E58" s="3">
        <v>400000</v>
      </c>
      <c r="F58" s="3">
        <v>215000</v>
      </c>
      <c r="G58" s="3">
        <v>118254524.49546276</v>
      </c>
      <c r="H58" s="3">
        <v>315</v>
      </c>
      <c r="I58" s="3">
        <v>365000</v>
      </c>
      <c r="J58" s="3">
        <v>0</v>
      </c>
      <c r="K58" s="3">
        <v>0</v>
      </c>
      <c r="L58" s="3">
        <v>195.45454545454544</v>
      </c>
      <c r="M58" s="3">
        <v>0</v>
      </c>
      <c r="N58" s="3">
        <v>11500</v>
      </c>
      <c r="O58" s="3">
        <v>65000</v>
      </c>
      <c r="P58" s="3">
        <v>0</v>
      </c>
      <c r="Q58" s="3">
        <v>0</v>
      </c>
      <c r="R58" s="3">
        <v>0</v>
      </c>
      <c r="S58" s="3">
        <v>0</v>
      </c>
      <c r="T58" s="3">
        <v>24798588.378575128</v>
      </c>
      <c r="U58" s="3">
        <v>0</v>
      </c>
      <c r="V58" s="3">
        <v>5915359.9199372474</v>
      </c>
      <c r="W58" s="3">
        <v>7161998150.4890385</v>
      </c>
      <c r="X58" s="3">
        <v>0</v>
      </c>
      <c r="Y58" s="3">
        <v>150000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1100</v>
      </c>
      <c r="AG58" s="3">
        <v>0</v>
      </c>
      <c r="AH58" s="3">
        <v>22400</v>
      </c>
    </row>
    <row r="59" spans="1:34" x14ac:dyDescent="0.3">
      <c r="A59" s="1">
        <v>66</v>
      </c>
      <c r="B59" s="1" t="s">
        <v>232</v>
      </c>
      <c r="C59" s="2" t="s">
        <v>145</v>
      </c>
      <c r="D59" s="2" t="s">
        <v>151</v>
      </c>
      <c r="E59" s="3">
        <v>150000</v>
      </c>
      <c r="F59" s="3">
        <v>570000</v>
      </c>
      <c r="G59" s="3">
        <v>532970159.82538342</v>
      </c>
      <c r="H59" s="3">
        <v>910</v>
      </c>
      <c r="I59" s="3">
        <v>87000</v>
      </c>
      <c r="J59" s="3">
        <v>0</v>
      </c>
      <c r="K59" s="3">
        <v>0</v>
      </c>
      <c r="L59" s="3">
        <v>100</v>
      </c>
      <c r="M59" s="3">
        <v>0</v>
      </c>
      <c r="N59" s="3">
        <v>5000</v>
      </c>
      <c r="O59" s="3">
        <v>12500</v>
      </c>
      <c r="P59" s="3">
        <v>0</v>
      </c>
      <c r="Q59" s="3">
        <v>0</v>
      </c>
      <c r="R59" s="3">
        <v>0</v>
      </c>
      <c r="S59" s="3">
        <v>0</v>
      </c>
      <c r="T59" s="3">
        <v>17160975.053392589</v>
      </c>
      <c r="U59" s="3">
        <v>0</v>
      </c>
      <c r="V59" s="3">
        <v>5292318.744746957</v>
      </c>
      <c r="W59" s="3">
        <v>3940658001.1748557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250</v>
      </c>
      <c r="AG59" s="3">
        <v>0</v>
      </c>
      <c r="AH59" s="3">
        <v>2000</v>
      </c>
    </row>
    <row r="60" spans="1:34" x14ac:dyDescent="0.3">
      <c r="A60" s="1">
        <v>68</v>
      </c>
      <c r="B60" s="1" t="s">
        <v>233</v>
      </c>
      <c r="C60" s="2" t="s">
        <v>147</v>
      </c>
      <c r="D60" s="2" t="s">
        <v>151</v>
      </c>
      <c r="E60" s="3">
        <v>215000</v>
      </c>
      <c r="F60" s="3">
        <v>67500</v>
      </c>
      <c r="G60" s="3">
        <v>34506300</v>
      </c>
      <c r="H60" s="3">
        <v>125</v>
      </c>
      <c r="I60" s="3">
        <v>300000</v>
      </c>
      <c r="J60" s="3">
        <v>0</v>
      </c>
      <c r="K60" s="3">
        <v>0</v>
      </c>
      <c r="L60" s="3">
        <v>0</v>
      </c>
      <c r="M60" s="3">
        <v>0</v>
      </c>
      <c r="N60" s="3">
        <v>39500</v>
      </c>
      <c r="O60" s="3">
        <v>60000</v>
      </c>
      <c r="P60" s="3">
        <v>0</v>
      </c>
      <c r="Q60" s="3">
        <v>0</v>
      </c>
      <c r="R60" s="3">
        <v>0</v>
      </c>
      <c r="S60" s="3">
        <v>323059.08596648602</v>
      </c>
      <c r="T60" s="3">
        <v>1836588.920262781</v>
      </c>
      <c r="U60" s="3">
        <v>0</v>
      </c>
      <c r="V60" s="3">
        <v>0</v>
      </c>
      <c r="W60" s="3">
        <v>16089903.714913895</v>
      </c>
      <c r="X60" s="3">
        <v>307227.90812815167</v>
      </c>
      <c r="Y60" s="3">
        <v>0</v>
      </c>
      <c r="Z60" s="3">
        <v>0</v>
      </c>
      <c r="AA60" s="3">
        <v>0</v>
      </c>
      <c r="AB60" s="3">
        <v>3400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x14ac:dyDescent="0.3">
      <c r="A61" s="1">
        <v>69</v>
      </c>
      <c r="B61" s="1" t="s">
        <v>98</v>
      </c>
      <c r="C61" s="2" t="s">
        <v>146</v>
      </c>
      <c r="D61" s="2" t="s">
        <v>146</v>
      </c>
      <c r="E61" s="3">
        <v>44000</v>
      </c>
      <c r="F61" s="3">
        <v>9250</v>
      </c>
      <c r="G61" s="3">
        <v>17585594.216187295</v>
      </c>
      <c r="H61" s="3">
        <v>526</v>
      </c>
      <c r="I61" s="3">
        <v>1550</v>
      </c>
      <c r="J61" s="3">
        <v>32800</v>
      </c>
      <c r="K61" s="3">
        <v>0</v>
      </c>
      <c r="L61" s="3">
        <v>0</v>
      </c>
      <c r="M61" s="3">
        <v>0</v>
      </c>
      <c r="N61" s="3">
        <v>20000</v>
      </c>
      <c r="O61" s="3">
        <v>515000</v>
      </c>
      <c r="P61" s="3">
        <v>371430.83957256051</v>
      </c>
      <c r="Q61" s="3">
        <v>45901.825749549418</v>
      </c>
      <c r="R61" s="3">
        <v>285891.97178846097</v>
      </c>
      <c r="S61" s="3">
        <v>349576.28278218966</v>
      </c>
      <c r="T61" s="3">
        <v>6640594.4787906148</v>
      </c>
      <c r="U61" s="3">
        <v>0</v>
      </c>
      <c r="V61" s="3">
        <v>0</v>
      </c>
      <c r="W61" s="3">
        <v>5380303.1064058095</v>
      </c>
      <c r="X61" s="3">
        <v>311220.14022746019</v>
      </c>
      <c r="Y61" s="3">
        <v>18400</v>
      </c>
      <c r="Z61" s="3">
        <v>0</v>
      </c>
      <c r="AA61" s="3">
        <v>0</v>
      </c>
      <c r="AB61" s="3">
        <v>11900</v>
      </c>
      <c r="AC61" s="3">
        <v>95</v>
      </c>
      <c r="AD61" s="3">
        <v>320</v>
      </c>
      <c r="AE61" s="3">
        <v>0</v>
      </c>
      <c r="AF61" s="3">
        <v>87</v>
      </c>
      <c r="AG61" s="3">
        <v>0</v>
      </c>
      <c r="AH61" s="3">
        <v>18000</v>
      </c>
    </row>
    <row r="62" spans="1:34" x14ac:dyDescent="0.3">
      <c r="A62" s="1">
        <v>71</v>
      </c>
      <c r="B62" s="1" t="s">
        <v>100</v>
      </c>
      <c r="C62" s="2" t="s">
        <v>147</v>
      </c>
      <c r="D62" s="2" t="s">
        <v>151</v>
      </c>
      <c r="E62" s="3">
        <v>1670000</v>
      </c>
      <c r="F62" s="3">
        <v>17500</v>
      </c>
      <c r="G62" s="3">
        <v>17829057.238081884</v>
      </c>
      <c r="H62" s="3">
        <v>2000</v>
      </c>
      <c r="I62" s="3">
        <v>2270000</v>
      </c>
      <c r="J62" s="3">
        <v>365</v>
      </c>
      <c r="K62" s="3">
        <v>0</v>
      </c>
      <c r="L62" s="3">
        <v>0</v>
      </c>
      <c r="M62" s="3">
        <v>477.27272727272731</v>
      </c>
      <c r="N62" s="3">
        <v>0</v>
      </c>
      <c r="O62" s="3">
        <v>75000</v>
      </c>
      <c r="P62" s="3">
        <v>0</v>
      </c>
      <c r="Q62" s="3">
        <v>0</v>
      </c>
      <c r="R62" s="3">
        <v>0</v>
      </c>
      <c r="S62" s="3">
        <v>3162037.091316876</v>
      </c>
      <c r="T62" s="3">
        <v>17272172.232271187</v>
      </c>
      <c r="U62" s="3">
        <v>0</v>
      </c>
      <c r="V62" s="3">
        <v>0</v>
      </c>
      <c r="W62" s="3">
        <v>1889936867.842103</v>
      </c>
      <c r="X62" s="3">
        <v>923577.46163128072</v>
      </c>
      <c r="Y62" s="3">
        <v>45800</v>
      </c>
      <c r="Z62" s="3">
        <v>0</v>
      </c>
      <c r="AA62" s="3">
        <v>0</v>
      </c>
      <c r="AB62" s="3">
        <v>11400000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x14ac:dyDescent="0.3">
      <c r="A63" s="1">
        <v>73</v>
      </c>
      <c r="B63" s="1" t="s">
        <v>102</v>
      </c>
      <c r="C63" s="2" t="s">
        <v>145</v>
      </c>
      <c r="D63" s="2" t="s">
        <v>151</v>
      </c>
      <c r="E63" s="3">
        <v>19450000</v>
      </c>
      <c r="F63" s="3">
        <v>20000</v>
      </c>
      <c r="G63" s="3">
        <v>123539668.46509609</v>
      </c>
      <c r="H63" s="3">
        <v>0</v>
      </c>
      <c r="I63" s="3">
        <v>110000</v>
      </c>
      <c r="J63" s="3">
        <v>0</v>
      </c>
      <c r="K63" s="3">
        <v>0</v>
      </c>
      <c r="L63" s="3">
        <v>0</v>
      </c>
      <c r="M63" s="3">
        <v>75</v>
      </c>
      <c r="N63" s="3">
        <v>12000000</v>
      </c>
      <c r="O63" s="3">
        <v>35500000</v>
      </c>
      <c r="P63" s="3">
        <v>0</v>
      </c>
      <c r="Q63" s="3">
        <v>0</v>
      </c>
      <c r="R63" s="3">
        <v>0</v>
      </c>
      <c r="S63" s="3">
        <v>0</v>
      </c>
      <c r="T63" s="3">
        <v>173273425.0185807</v>
      </c>
      <c r="U63" s="3">
        <v>0</v>
      </c>
      <c r="V63" s="3">
        <v>14632345808.300732</v>
      </c>
      <c r="W63" s="3">
        <v>69042143571.123993</v>
      </c>
      <c r="X63" s="3">
        <v>0</v>
      </c>
      <c r="Y63" s="3">
        <v>0</v>
      </c>
      <c r="Z63" s="3">
        <v>0</v>
      </c>
      <c r="AA63" s="3">
        <v>204000000</v>
      </c>
      <c r="AB63" s="3">
        <v>0</v>
      </c>
      <c r="AC63" s="3">
        <v>0</v>
      </c>
      <c r="AD63" s="3">
        <v>0</v>
      </c>
      <c r="AE63" s="3">
        <v>0</v>
      </c>
      <c r="AF63" s="3">
        <v>59</v>
      </c>
      <c r="AG63" s="3">
        <v>59000</v>
      </c>
      <c r="AH63" s="3">
        <v>15600</v>
      </c>
    </row>
    <row r="64" spans="1:34" x14ac:dyDescent="0.3">
      <c r="A64" s="1">
        <v>74</v>
      </c>
      <c r="B64" s="1" t="s">
        <v>103</v>
      </c>
      <c r="C64" s="2" t="s">
        <v>144</v>
      </c>
      <c r="D64" s="2" t="s">
        <v>151</v>
      </c>
      <c r="E64" s="3">
        <v>167000</v>
      </c>
      <c r="F64" s="3">
        <v>1155000</v>
      </c>
      <c r="G64" s="3">
        <v>707093754.65769422</v>
      </c>
      <c r="H64" s="3">
        <v>0</v>
      </c>
      <c r="I64" s="3">
        <v>500</v>
      </c>
      <c r="J64" s="3">
        <v>0</v>
      </c>
      <c r="K64" s="3">
        <v>0</v>
      </c>
      <c r="L64" s="3">
        <v>0</v>
      </c>
      <c r="M64" s="3">
        <v>0</v>
      </c>
      <c r="N64" s="3">
        <v>4100000</v>
      </c>
      <c r="O64" s="3">
        <v>5200000</v>
      </c>
      <c r="P64" s="3">
        <v>0</v>
      </c>
      <c r="Q64" s="3">
        <v>0</v>
      </c>
      <c r="R64" s="3">
        <v>0</v>
      </c>
      <c r="S64" s="3">
        <v>0</v>
      </c>
      <c r="T64" s="3">
        <v>997440412.00108635</v>
      </c>
      <c r="U64" s="3">
        <v>836738269.50697255</v>
      </c>
      <c r="V64" s="3">
        <v>0</v>
      </c>
      <c r="W64" s="3">
        <v>24482163672.423126</v>
      </c>
      <c r="X64" s="3">
        <v>0</v>
      </c>
      <c r="Y64" s="3">
        <v>1350000</v>
      </c>
      <c r="Z64" s="3">
        <v>38600000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x14ac:dyDescent="0.3">
      <c r="A65" s="1">
        <v>75</v>
      </c>
      <c r="B65" s="1" t="s">
        <v>104</v>
      </c>
      <c r="C65" s="2" t="s">
        <v>147</v>
      </c>
      <c r="D65" s="2" t="s">
        <v>151</v>
      </c>
      <c r="E65" s="3">
        <v>10550000</v>
      </c>
      <c r="F65" s="3">
        <v>1450000</v>
      </c>
      <c r="G65" s="3">
        <v>759360</v>
      </c>
      <c r="H65" s="3">
        <v>0</v>
      </c>
      <c r="I65" s="3">
        <v>1010000</v>
      </c>
      <c r="J65" s="3">
        <v>0</v>
      </c>
      <c r="K65" s="3">
        <v>0</v>
      </c>
      <c r="L65" s="3">
        <v>0</v>
      </c>
      <c r="M65" s="3">
        <v>0</v>
      </c>
      <c r="N65" s="3">
        <v>20800000</v>
      </c>
      <c r="O65" s="3">
        <v>28000000</v>
      </c>
      <c r="P65" s="3">
        <v>0</v>
      </c>
      <c r="Q65" s="3">
        <v>0</v>
      </c>
      <c r="R65" s="3">
        <v>0</v>
      </c>
      <c r="S65" s="3">
        <v>7387.3293835377008</v>
      </c>
      <c r="T65" s="3">
        <v>487003362.71040225</v>
      </c>
      <c r="U65" s="3">
        <v>0</v>
      </c>
      <c r="V65" s="3">
        <v>0</v>
      </c>
      <c r="W65" s="3">
        <v>796165.28937149735</v>
      </c>
      <c r="X65" s="3">
        <v>0</v>
      </c>
      <c r="Y65" s="3">
        <v>1900000</v>
      </c>
      <c r="Z65" s="3">
        <v>0</v>
      </c>
      <c r="AA65" s="3">
        <v>0</v>
      </c>
      <c r="AB65" s="3">
        <v>118000000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x14ac:dyDescent="0.3">
      <c r="A66" s="1">
        <v>76</v>
      </c>
      <c r="B66" s="1" t="s">
        <v>105</v>
      </c>
      <c r="C66" s="2" t="s">
        <v>148</v>
      </c>
      <c r="D66" s="2" t="s">
        <v>151</v>
      </c>
      <c r="E66" s="3">
        <v>27700</v>
      </c>
      <c r="F66" s="3">
        <v>245000</v>
      </c>
      <c r="G66" s="3">
        <v>855944.01588656427</v>
      </c>
      <c r="H66" s="3">
        <v>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11000</v>
      </c>
      <c r="O66" s="3">
        <v>110000</v>
      </c>
      <c r="P66" s="3">
        <v>0</v>
      </c>
      <c r="Q66" s="3">
        <v>0</v>
      </c>
      <c r="R66" s="3">
        <v>0</v>
      </c>
      <c r="S66" s="3">
        <v>0</v>
      </c>
      <c r="T66" s="3">
        <v>162435877.90922579</v>
      </c>
      <c r="U66" s="3">
        <v>0</v>
      </c>
      <c r="V66" s="3">
        <v>0</v>
      </c>
      <c r="W66" s="3">
        <v>4073009495.1818724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120</v>
      </c>
      <c r="AG66" s="3">
        <v>0</v>
      </c>
    </row>
    <row r="67" spans="1:34" x14ac:dyDescent="0.3">
      <c r="A67" s="1">
        <v>77</v>
      </c>
      <c r="B67" s="1" t="s">
        <v>106</v>
      </c>
      <c r="C67" s="2" t="s">
        <v>146</v>
      </c>
      <c r="D67" s="2" t="s">
        <v>146</v>
      </c>
      <c r="E67" s="3">
        <v>655000</v>
      </c>
      <c r="F67" s="3">
        <v>150000</v>
      </c>
      <c r="G67" s="3">
        <v>834024315.6499815</v>
      </c>
      <c r="H67" s="3">
        <v>35600</v>
      </c>
      <c r="I67" s="3">
        <v>90500</v>
      </c>
      <c r="J67" s="3">
        <v>5400</v>
      </c>
      <c r="K67" s="3">
        <v>0</v>
      </c>
      <c r="L67" s="3">
        <v>0</v>
      </c>
      <c r="M67" s="3">
        <v>75</v>
      </c>
      <c r="N67" s="3">
        <v>1000000</v>
      </c>
      <c r="O67" s="3">
        <v>1320000</v>
      </c>
      <c r="P67" s="3">
        <v>19000000</v>
      </c>
      <c r="Q67" s="3">
        <v>0</v>
      </c>
      <c r="R67" s="3">
        <v>0</v>
      </c>
      <c r="S67" s="3">
        <v>0</v>
      </c>
      <c r="T67" s="3">
        <v>14696772.109407524</v>
      </c>
      <c r="U67" s="3">
        <v>0</v>
      </c>
      <c r="V67" s="3">
        <v>565.68542494923804</v>
      </c>
      <c r="W67" s="3">
        <v>2221799926.0651917</v>
      </c>
      <c r="X67" s="3">
        <v>23197693.311155792</v>
      </c>
      <c r="Y67" s="3">
        <v>270000</v>
      </c>
      <c r="Z67" s="3">
        <v>0</v>
      </c>
      <c r="AA67" s="3">
        <v>0</v>
      </c>
      <c r="AB67" s="3">
        <v>0</v>
      </c>
      <c r="AC67" s="3">
        <v>187</v>
      </c>
      <c r="AD67" s="3">
        <v>740</v>
      </c>
      <c r="AE67" s="3">
        <v>0</v>
      </c>
      <c r="AF67" s="3">
        <v>233</v>
      </c>
      <c r="AG67" s="3">
        <v>0</v>
      </c>
      <c r="AH67" s="3">
        <v>444000</v>
      </c>
    </row>
    <row r="68" spans="1:34" x14ac:dyDescent="0.3">
      <c r="A68" s="1">
        <v>78</v>
      </c>
      <c r="B68" s="1" t="s">
        <v>107</v>
      </c>
      <c r="C68" s="2" t="s">
        <v>145</v>
      </c>
      <c r="D68" s="2" t="s">
        <v>151</v>
      </c>
      <c r="E68" s="3">
        <v>1080000</v>
      </c>
      <c r="F68" s="3">
        <v>185000</v>
      </c>
      <c r="G68" s="3">
        <v>87603397.069899067</v>
      </c>
      <c r="H68" s="3">
        <v>0</v>
      </c>
      <c r="I68" s="3">
        <v>490000</v>
      </c>
      <c r="J68" s="3">
        <v>0</v>
      </c>
      <c r="K68" s="3">
        <v>0</v>
      </c>
      <c r="L68" s="3">
        <v>0</v>
      </c>
      <c r="M68" s="3">
        <v>0</v>
      </c>
      <c r="N68" s="3">
        <v>106000</v>
      </c>
      <c r="O68" s="3">
        <v>220000</v>
      </c>
      <c r="P68" s="3">
        <v>0</v>
      </c>
      <c r="Q68" s="3">
        <v>0</v>
      </c>
      <c r="R68" s="3">
        <v>0</v>
      </c>
      <c r="S68" s="3">
        <v>0</v>
      </c>
      <c r="T68" s="3">
        <v>64919020.713672638</v>
      </c>
      <c r="U68" s="3">
        <v>0</v>
      </c>
      <c r="V68" s="3">
        <v>500878960.00735348</v>
      </c>
      <c r="W68" s="3">
        <v>20210543552.49992</v>
      </c>
      <c r="X68" s="3">
        <v>0</v>
      </c>
      <c r="Y68" s="3">
        <v>0</v>
      </c>
      <c r="Z68" s="3">
        <v>0</v>
      </c>
      <c r="AA68" s="3">
        <v>12900000</v>
      </c>
      <c r="AB68" s="3">
        <v>0</v>
      </c>
      <c r="AC68" s="3">
        <v>0</v>
      </c>
      <c r="AD68" s="3">
        <v>0</v>
      </c>
      <c r="AE68" s="3">
        <v>0</v>
      </c>
      <c r="AF68" s="3">
        <v>56</v>
      </c>
      <c r="AG68" s="3">
        <v>0</v>
      </c>
      <c r="AH68" s="3">
        <v>39200</v>
      </c>
    </row>
    <row r="69" spans="1:34" x14ac:dyDescent="0.3">
      <c r="A69" s="1">
        <v>79</v>
      </c>
      <c r="B69" s="1" t="s">
        <v>108</v>
      </c>
      <c r="C69" s="2" t="s">
        <v>144</v>
      </c>
      <c r="D69" s="2" t="s">
        <v>151</v>
      </c>
      <c r="E69" s="3">
        <v>45500</v>
      </c>
      <c r="F69" s="3">
        <v>105000</v>
      </c>
      <c r="G69" s="3">
        <v>53284165.183739156</v>
      </c>
      <c r="H69" s="3">
        <v>38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4500</v>
      </c>
      <c r="P69" s="3">
        <v>0</v>
      </c>
      <c r="Q69" s="3">
        <v>0</v>
      </c>
      <c r="R69" s="3">
        <v>0</v>
      </c>
      <c r="S69" s="3">
        <v>0</v>
      </c>
      <c r="T69" s="3">
        <v>59690739.589168571</v>
      </c>
      <c r="U69" s="3">
        <v>951841888.68019044</v>
      </c>
      <c r="V69" s="3">
        <v>0</v>
      </c>
      <c r="W69" s="3">
        <v>16098851242.046982</v>
      </c>
      <c r="X69" s="3">
        <v>0</v>
      </c>
      <c r="Y69" s="3">
        <v>2080000</v>
      </c>
      <c r="Z69" s="3">
        <v>76400000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x14ac:dyDescent="0.3">
      <c r="A70" s="1">
        <v>80</v>
      </c>
      <c r="B70" s="1" t="s">
        <v>109</v>
      </c>
      <c r="C70" s="2" t="s">
        <v>147</v>
      </c>
      <c r="D70" s="2" t="s">
        <v>151</v>
      </c>
      <c r="E70" s="3">
        <v>21100000</v>
      </c>
      <c r="F70" s="3">
        <v>455000</v>
      </c>
      <c r="G70" s="3">
        <v>2841296898.3612652</v>
      </c>
      <c r="H70" s="3">
        <v>8865</v>
      </c>
      <c r="I70" s="3">
        <v>2850000</v>
      </c>
      <c r="J70" s="3">
        <v>0</v>
      </c>
      <c r="K70" s="3">
        <v>0</v>
      </c>
      <c r="L70" s="3">
        <v>0</v>
      </c>
      <c r="M70" s="3">
        <v>0</v>
      </c>
      <c r="N70" s="3">
        <v>218000</v>
      </c>
      <c r="O70" s="3">
        <v>1000000</v>
      </c>
      <c r="P70" s="3">
        <v>0</v>
      </c>
      <c r="Q70" s="3">
        <v>0</v>
      </c>
      <c r="R70" s="3">
        <v>0</v>
      </c>
      <c r="S70" s="3">
        <v>42972905.302802972</v>
      </c>
      <c r="T70" s="3">
        <v>133823369.29331169</v>
      </c>
      <c r="U70" s="3">
        <v>0</v>
      </c>
      <c r="V70" s="3">
        <v>0</v>
      </c>
      <c r="W70" s="3">
        <v>12413126669.088936</v>
      </c>
      <c r="X70" s="3">
        <v>0</v>
      </c>
      <c r="Y70" s="3">
        <v>0</v>
      </c>
      <c r="Z70" s="3">
        <v>0</v>
      </c>
      <c r="AA70" s="3">
        <v>0</v>
      </c>
      <c r="AB70" s="3">
        <v>1110000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x14ac:dyDescent="0.3">
      <c r="A71" s="1">
        <v>81</v>
      </c>
      <c r="B71" s="1" t="s">
        <v>110</v>
      </c>
      <c r="C71" s="2" t="s">
        <v>148</v>
      </c>
      <c r="D71" s="2" t="s">
        <v>151</v>
      </c>
      <c r="E71" s="3">
        <v>89500</v>
      </c>
      <c r="F71" s="3">
        <v>350</v>
      </c>
      <c r="G71" s="3">
        <v>2298829.3981067841</v>
      </c>
      <c r="H71" s="3">
        <v>0</v>
      </c>
      <c r="I71" s="3">
        <v>43300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32109013.29620342</v>
      </c>
      <c r="U71" s="3">
        <v>0</v>
      </c>
      <c r="V71" s="3">
        <v>0</v>
      </c>
      <c r="W71" s="3">
        <v>7322381226.9210052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1:34" x14ac:dyDescent="0.3">
      <c r="A72" s="1">
        <v>82</v>
      </c>
      <c r="B72" s="1" t="s">
        <v>111</v>
      </c>
      <c r="C72" s="2" t="s">
        <v>146</v>
      </c>
      <c r="D72" s="2" t="s">
        <v>146</v>
      </c>
      <c r="E72" s="3">
        <v>160000</v>
      </c>
      <c r="F72" s="3">
        <v>225000</v>
      </c>
      <c r="G72" s="3">
        <v>1593697946.0195229</v>
      </c>
      <c r="H72" s="3">
        <v>31200</v>
      </c>
      <c r="I72" s="3">
        <v>140000</v>
      </c>
      <c r="J72" s="3">
        <v>449.99999999999989</v>
      </c>
      <c r="K72" s="3">
        <v>10</v>
      </c>
      <c r="L72" s="3">
        <v>0</v>
      </c>
      <c r="M72" s="3">
        <v>20</v>
      </c>
      <c r="N72" s="3">
        <v>17500</v>
      </c>
      <c r="O72" s="3">
        <v>107000</v>
      </c>
      <c r="P72" s="3">
        <v>19400000</v>
      </c>
      <c r="Q72" s="3">
        <v>0</v>
      </c>
      <c r="R72" s="3">
        <v>0</v>
      </c>
      <c r="S72" s="3">
        <v>0</v>
      </c>
      <c r="T72" s="3">
        <v>23398173.661399052</v>
      </c>
      <c r="U72" s="3">
        <v>0</v>
      </c>
      <c r="V72" s="3">
        <v>277.12812921102039</v>
      </c>
      <c r="W72" s="3">
        <v>496375973.38650107</v>
      </c>
      <c r="X72" s="3">
        <v>12323887.048398403</v>
      </c>
      <c r="Y72" s="3">
        <v>282000</v>
      </c>
      <c r="Z72" s="3">
        <v>0</v>
      </c>
      <c r="AA72" s="3">
        <v>0</v>
      </c>
      <c r="AB72" s="3">
        <v>0</v>
      </c>
      <c r="AC72" s="3">
        <v>250</v>
      </c>
      <c r="AD72" s="3">
        <v>620</v>
      </c>
      <c r="AE72" s="3">
        <v>0</v>
      </c>
      <c r="AF72" s="3">
        <v>220</v>
      </c>
      <c r="AG72" s="3">
        <v>0</v>
      </c>
      <c r="AH72" s="3">
        <v>206800</v>
      </c>
    </row>
    <row r="73" spans="1:34" x14ac:dyDescent="0.3">
      <c r="A73" s="1">
        <v>83</v>
      </c>
      <c r="B73" s="1" t="s">
        <v>112</v>
      </c>
      <c r="C73" s="2" t="s">
        <v>144</v>
      </c>
      <c r="D73" s="2" t="s">
        <v>151</v>
      </c>
      <c r="E73" s="3">
        <v>3000</v>
      </c>
      <c r="F73" s="3">
        <v>8500</v>
      </c>
      <c r="G73" s="3">
        <v>14592688.72519386</v>
      </c>
      <c r="H73" s="3">
        <v>0</v>
      </c>
      <c r="I73" s="3">
        <v>250</v>
      </c>
      <c r="J73" s="3">
        <v>0</v>
      </c>
      <c r="K73" s="3">
        <v>0</v>
      </c>
      <c r="L73" s="3">
        <v>0</v>
      </c>
      <c r="M73" s="3">
        <v>0</v>
      </c>
      <c r="N73" s="3">
        <v>100</v>
      </c>
      <c r="O73" s="3">
        <v>500</v>
      </c>
      <c r="P73" s="3">
        <v>0</v>
      </c>
      <c r="Q73" s="3">
        <v>0</v>
      </c>
      <c r="R73" s="3">
        <v>0</v>
      </c>
      <c r="S73" s="3">
        <v>0</v>
      </c>
      <c r="T73" s="3">
        <v>52457423.986192867</v>
      </c>
      <c r="U73" s="3">
        <v>111686544.73525316</v>
      </c>
      <c r="V73" s="3">
        <v>0</v>
      </c>
      <c r="W73" s="3">
        <v>3870289382.4588118</v>
      </c>
      <c r="X73" s="3">
        <v>0</v>
      </c>
      <c r="Y73" s="3">
        <v>1710000</v>
      </c>
      <c r="Z73" s="3">
        <v>56600000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x14ac:dyDescent="0.3">
      <c r="A74" s="1">
        <v>84</v>
      </c>
      <c r="B74" s="1" t="s">
        <v>113</v>
      </c>
      <c r="C74" s="2" t="s">
        <v>147</v>
      </c>
      <c r="D74" s="2" t="s">
        <v>151</v>
      </c>
      <c r="E74" s="3">
        <v>140000</v>
      </c>
      <c r="F74" s="3">
        <v>315000</v>
      </c>
      <c r="G74" s="3">
        <v>12377256855.546122</v>
      </c>
      <c r="H74" s="3">
        <v>1475</v>
      </c>
      <c r="I74" s="3">
        <v>1565000</v>
      </c>
      <c r="J74" s="3">
        <v>520</v>
      </c>
      <c r="K74" s="3">
        <v>0</v>
      </c>
      <c r="L74" s="3">
        <v>0</v>
      </c>
      <c r="M74" s="3">
        <v>0</v>
      </c>
      <c r="N74" s="3">
        <v>16000</v>
      </c>
      <c r="O74" s="3">
        <v>90500</v>
      </c>
      <c r="P74" s="3">
        <v>0</v>
      </c>
      <c r="Q74" s="3">
        <v>0</v>
      </c>
      <c r="R74" s="3">
        <v>0</v>
      </c>
      <c r="S74" s="3">
        <v>97453479.349524125</v>
      </c>
      <c r="T74" s="3">
        <v>203637126.43273121</v>
      </c>
      <c r="U74" s="3">
        <v>0</v>
      </c>
      <c r="V74" s="3">
        <v>0</v>
      </c>
      <c r="W74" s="3">
        <v>27941024000</v>
      </c>
      <c r="X74" s="3">
        <v>0</v>
      </c>
      <c r="Y74" s="3">
        <v>0</v>
      </c>
      <c r="Z74" s="3">
        <v>0</v>
      </c>
      <c r="AA74" s="3">
        <v>0</v>
      </c>
      <c r="AB74" s="3">
        <v>2660000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x14ac:dyDescent="0.3">
      <c r="A75" s="1">
        <v>85</v>
      </c>
      <c r="B75" s="1" t="s">
        <v>114</v>
      </c>
      <c r="C75" s="2" t="s">
        <v>148</v>
      </c>
      <c r="D75" s="2" t="s">
        <v>151</v>
      </c>
      <c r="E75" s="3">
        <v>6000</v>
      </c>
      <c r="F75" s="3">
        <v>21500</v>
      </c>
      <c r="G75" s="3">
        <v>8108408.5146223363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15</v>
      </c>
      <c r="O75" s="3">
        <v>15</v>
      </c>
      <c r="P75" s="3">
        <v>0</v>
      </c>
      <c r="Q75" s="3">
        <v>0</v>
      </c>
      <c r="R75" s="3">
        <v>0</v>
      </c>
      <c r="S75" s="3">
        <v>0</v>
      </c>
      <c r="T75" s="3">
        <v>60858600.339329556</v>
      </c>
      <c r="U75" s="3">
        <v>0</v>
      </c>
      <c r="V75" s="3">
        <v>0</v>
      </c>
      <c r="W75" s="3">
        <v>3506150045.8067961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1:34" x14ac:dyDescent="0.3">
      <c r="A76" s="1">
        <v>86</v>
      </c>
      <c r="B76" s="1" t="s">
        <v>115</v>
      </c>
      <c r="C76" s="2" t="s">
        <v>146</v>
      </c>
      <c r="D76" s="2" t="s">
        <v>146</v>
      </c>
      <c r="E76" s="3">
        <v>950000</v>
      </c>
      <c r="F76" s="3">
        <v>47000</v>
      </c>
      <c r="G76" s="3">
        <v>944901388.74826169</v>
      </c>
      <c r="H76" s="3">
        <v>29000</v>
      </c>
      <c r="I76" s="3">
        <v>320000</v>
      </c>
      <c r="J76" s="3">
        <v>313.63636363636363</v>
      </c>
      <c r="K76" s="3">
        <v>0</v>
      </c>
      <c r="L76" s="3">
        <v>0</v>
      </c>
      <c r="M76" s="3">
        <v>0</v>
      </c>
      <c r="N76" s="3">
        <v>30000</v>
      </c>
      <c r="O76" s="3">
        <v>215000</v>
      </c>
      <c r="P76" s="3">
        <v>6850000</v>
      </c>
      <c r="Q76" s="3">
        <v>0</v>
      </c>
      <c r="R76" s="3">
        <v>0</v>
      </c>
      <c r="S76" s="3">
        <v>0</v>
      </c>
      <c r="T76" s="3">
        <v>5988622.8076690082</v>
      </c>
      <c r="U76" s="3">
        <v>0</v>
      </c>
      <c r="V76" s="3">
        <v>0</v>
      </c>
      <c r="W76" s="3">
        <v>683028572.58815408</v>
      </c>
      <c r="X76" s="3">
        <v>10151435.001491334</v>
      </c>
      <c r="Y76" s="3">
        <v>372000</v>
      </c>
      <c r="Z76" s="3">
        <v>0</v>
      </c>
      <c r="AA76" s="3">
        <v>0</v>
      </c>
      <c r="AB76" s="3">
        <v>0</v>
      </c>
      <c r="AC76" s="3">
        <v>420</v>
      </c>
      <c r="AD76" s="3">
        <v>770</v>
      </c>
      <c r="AE76" s="3">
        <v>0</v>
      </c>
      <c r="AF76" s="3">
        <v>270</v>
      </c>
      <c r="AG76" s="3">
        <v>38500</v>
      </c>
      <c r="AH76" s="3">
        <v>22800</v>
      </c>
    </row>
    <row r="77" spans="1:34" x14ac:dyDescent="0.3">
      <c r="A77" s="1">
        <v>87</v>
      </c>
      <c r="B77" s="1" t="s">
        <v>116</v>
      </c>
      <c r="C77" s="2" t="s">
        <v>145</v>
      </c>
      <c r="D77" s="2" t="s">
        <v>151</v>
      </c>
      <c r="E77" s="3">
        <v>685000</v>
      </c>
      <c r="F77" s="3">
        <v>4000000</v>
      </c>
      <c r="G77" s="3">
        <v>127351917.41450933</v>
      </c>
      <c r="H77" s="3">
        <v>667</v>
      </c>
      <c r="I77" s="3">
        <v>25000</v>
      </c>
      <c r="J77" s="3">
        <v>0</v>
      </c>
      <c r="K77" s="3">
        <v>0</v>
      </c>
      <c r="L77" s="3">
        <v>0</v>
      </c>
      <c r="M77" s="3">
        <v>0</v>
      </c>
      <c r="N77" s="3">
        <v>4600</v>
      </c>
      <c r="O77" s="3">
        <v>18600</v>
      </c>
      <c r="P77" s="3">
        <v>19000000</v>
      </c>
      <c r="Q77" s="3">
        <v>0</v>
      </c>
      <c r="R77" s="3">
        <v>0</v>
      </c>
      <c r="S77" s="3">
        <v>0</v>
      </c>
      <c r="T77" s="3">
        <v>127084317.22879848</v>
      </c>
      <c r="U77" s="3">
        <v>0</v>
      </c>
      <c r="V77" s="3">
        <v>534216997.22974443</v>
      </c>
      <c r="W77" s="3">
        <v>14000116950.823437</v>
      </c>
      <c r="X77" s="3">
        <v>0</v>
      </c>
      <c r="Y77" s="3">
        <v>84400</v>
      </c>
      <c r="Z77" s="3">
        <v>0</v>
      </c>
      <c r="AA77" s="3">
        <v>4300000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x14ac:dyDescent="0.3">
      <c r="A78" s="1">
        <v>88</v>
      </c>
      <c r="B78" s="1" t="s">
        <v>117</v>
      </c>
      <c r="C78" s="2" t="s">
        <v>144</v>
      </c>
      <c r="D78" s="2" t="s">
        <v>151</v>
      </c>
      <c r="E78" s="3">
        <v>1430000</v>
      </c>
      <c r="F78" s="3">
        <v>135000</v>
      </c>
      <c r="G78" s="3">
        <v>10947920</v>
      </c>
      <c r="H78" s="3">
        <v>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205000</v>
      </c>
      <c r="O78" s="3">
        <v>1390000</v>
      </c>
      <c r="P78" s="3">
        <v>0</v>
      </c>
      <c r="Q78" s="3">
        <v>0</v>
      </c>
      <c r="R78" s="3">
        <v>0</v>
      </c>
      <c r="S78" s="3">
        <v>0</v>
      </c>
      <c r="T78" s="3">
        <v>150321797.39880699</v>
      </c>
      <c r="U78" s="3">
        <v>358645477.73387134</v>
      </c>
      <c r="V78" s="3">
        <v>0</v>
      </c>
      <c r="W78" s="3">
        <v>13626282240</v>
      </c>
      <c r="X78" s="3">
        <v>0</v>
      </c>
      <c r="Y78" s="3">
        <v>682000</v>
      </c>
      <c r="Z78" s="3">
        <v>13200000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  <row r="79" spans="1:34" x14ac:dyDescent="0.3">
      <c r="A79" s="1">
        <v>89</v>
      </c>
      <c r="B79" s="1" t="s">
        <v>118</v>
      </c>
      <c r="C79" s="2" t="s">
        <v>147</v>
      </c>
      <c r="D79" s="2" t="s">
        <v>151</v>
      </c>
      <c r="E79" s="3">
        <v>17750000</v>
      </c>
      <c r="F79" s="3">
        <v>1000000</v>
      </c>
      <c r="G79" s="3">
        <v>8282963118.5680065</v>
      </c>
      <c r="H79" s="3">
        <v>105</v>
      </c>
      <c r="I79" s="3">
        <v>71500000</v>
      </c>
      <c r="J79" s="3">
        <v>0</v>
      </c>
      <c r="K79" s="3">
        <v>0</v>
      </c>
      <c r="L79" s="3">
        <v>0</v>
      </c>
      <c r="M79" s="3">
        <v>0</v>
      </c>
      <c r="N79" s="3">
        <v>180000</v>
      </c>
      <c r="O79" s="3">
        <v>2890000</v>
      </c>
      <c r="P79" s="3">
        <v>0</v>
      </c>
      <c r="Q79" s="3">
        <v>0</v>
      </c>
      <c r="R79" s="3">
        <v>0</v>
      </c>
      <c r="S79" s="3">
        <v>68398151.57199946</v>
      </c>
      <c r="T79" s="3">
        <v>354884441.61349022</v>
      </c>
      <c r="U79" s="3">
        <v>0</v>
      </c>
      <c r="V79" s="3">
        <v>0</v>
      </c>
      <c r="W79" s="3">
        <v>27249837932.417366</v>
      </c>
      <c r="X79" s="3">
        <v>0</v>
      </c>
      <c r="Y79" s="3">
        <v>176000</v>
      </c>
      <c r="Z79" s="3">
        <v>0</v>
      </c>
      <c r="AA79" s="3">
        <v>0</v>
      </c>
      <c r="AB79" s="3">
        <v>2040000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</row>
    <row r="80" spans="1:34" x14ac:dyDescent="0.3">
      <c r="A80" s="1">
        <v>90</v>
      </c>
      <c r="B80" s="1" t="s">
        <v>119</v>
      </c>
      <c r="C80" s="2" t="s">
        <v>148</v>
      </c>
      <c r="D80" s="2" t="s">
        <v>151</v>
      </c>
      <c r="E80" s="3">
        <v>370000</v>
      </c>
      <c r="F80" s="3">
        <v>33000</v>
      </c>
      <c r="G80" s="3">
        <v>9867502.6488367356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7900</v>
      </c>
      <c r="O80" s="3">
        <v>10000</v>
      </c>
      <c r="P80" s="3">
        <v>0</v>
      </c>
      <c r="Q80" s="3">
        <v>0</v>
      </c>
      <c r="R80" s="3">
        <v>0</v>
      </c>
      <c r="S80" s="3">
        <v>0</v>
      </c>
      <c r="T80" s="3">
        <v>37492720.990923166</v>
      </c>
      <c r="U80" s="3">
        <v>0</v>
      </c>
      <c r="V80" s="3">
        <v>0</v>
      </c>
      <c r="W80" s="3">
        <v>11718849303.231459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</row>
    <row r="81" spans="1:34" x14ac:dyDescent="0.3">
      <c r="A81" s="1">
        <v>91</v>
      </c>
      <c r="B81" s="1" t="s">
        <v>120</v>
      </c>
      <c r="C81" s="2" t="s">
        <v>146</v>
      </c>
      <c r="D81" s="2" t="s">
        <v>146</v>
      </c>
      <c r="E81" s="3">
        <v>1470000</v>
      </c>
      <c r="F81" s="3">
        <v>325000</v>
      </c>
      <c r="G81" s="3">
        <v>129176511.33198172</v>
      </c>
      <c r="H81" s="3">
        <v>6042</v>
      </c>
      <c r="I81" s="3">
        <v>444000</v>
      </c>
      <c r="J81" s="3">
        <v>7513.6363636363631</v>
      </c>
      <c r="K81" s="3">
        <v>0</v>
      </c>
      <c r="L81" s="3">
        <v>0</v>
      </c>
      <c r="M81" s="3">
        <v>130</v>
      </c>
      <c r="N81" s="3">
        <v>285000</v>
      </c>
      <c r="O81" s="3">
        <v>690000</v>
      </c>
      <c r="P81" s="3">
        <v>254515.338230514</v>
      </c>
      <c r="Q81" s="3">
        <v>12985.657976158454</v>
      </c>
      <c r="R81" s="3">
        <v>0</v>
      </c>
      <c r="S81" s="3">
        <v>0</v>
      </c>
      <c r="T81" s="3">
        <v>6027427.0107815228</v>
      </c>
      <c r="U81" s="3">
        <v>0</v>
      </c>
      <c r="V81" s="3">
        <v>0</v>
      </c>
      <c r="W81" s="3">
        <v>1681911309.7253287</v>
      </c>
      <c r="X81" s="3">
        <v>2214253.8065314195</v>
      </c>
      <c r="Y81" s="3">
        <v>342000</v>
      </c>
      <c r="Z81" s="3">
        <v>0</v>
      </c>
      <c r="AA81" s="3">
        <v>0</v>
      </c>
      <c r="AB81" s="3">
        <v>0</v>
      </c>
      <c r="AC81" s="3">
        <v>290</v>
      </c>
      <c r="AD81" s="3">
        <v>1000</v>
      </c>
      <c r="AE81" s="3">
        <v>0</v>
      </c>
      <c r="AF81" s="3">
        <v>6200</v>
      </c>
      <c r="AG81" s="3">
        <v>132000</v>
      </c>
      <c r="AH81" s="3">
        <v>0</v>
      </c>
    </row>
    <row r="82" spans="1:34" x14ac:dyDescent="0.3">
      <c r="A82" s="1">
        <v>92</v>
      </c>
      <c r="B82" s="1" t="s">
        <v>121</v>
      </c>
      <c r="C82" s="2" t="s">
        <v>145</v>
      </c>
      <c r="D82" s="2" t="s">
        <v>151</v>
      </c>
      <c r="E82" s="3">
        <v>2087500</v>
      </c>
      <c r="F82" s="3">
        <v>8000000</v>
      </c>
      <c r="G82" s="3">
        <v>26435349.719464652</v>
      </c>
      <c r="H82" s="3">
        <v>375000</v>
      </c>
      <c r="I82" s="3">
        <v>650</v>
      </c>
      <c r="J82" s="3">
        <v>0</v>
      </c>
      <c r="K82" s="3">
        <v>0</v>
      </c>
      <c r="L82" s="3">
        <v>0</v>
      </c>
      <c r="M82" s="3">
        <v>0</v>
      </c>
      <c r="N82" s="3">
        <v>6500</v>
      </c>
      <c r="O82" s="3">
        <v>5450000</v>
      </c>
      <c r="P82" s="3">
        <v>3485250.1935263346</v>
      </c>
      <c r="Q82" s="3">
        <v>0</v>
      </c>
      <c r="R82" s="3">
        <v>0</v>
      </c>
      <c r="S82" s="3">
        <v>0</v>
      </c>
      <c r="T82" s="3">
        <v>63673241.550043337</v>
      </c>
      <c r="U82" s="3">
        <v>0</v>
      </c>
      <c r="V82" s="3">
        <v>1391610311.2947562</v>
      </c>
      <c r="W82" s="3">
        <v>8166251919.447957</v>
      </c>
      <c r="X82" s="3">
        <v>0</v>
      </c>
      <c r="Y82" s="3">
        <v>0</v>
      </c>
      <c r="Z82" s="3">
        <v>0</v>
      </c>
      <c r="AA82" s="3">
        <v>5360000</v>
      </c>
      <c r="AB82" s="3">
        <v>544000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6000</v>
      </c>
    </row>
    <row r="83" spans="1:34" x14ac:dyDescent="0.3">
      <c r="A83" s="1">
        <v>93</v>
      </c>
      <c r="B83" s="1" t="s">
        <v>122</v>
      </c>
      <c r="C83" s="2" t="s">
        <v>144</v>
      </c>
      <c r="D83" s="2" t="s">
        <v>151</v>
      </c>
      <c r="E83" s="3">
        <v>975000</v>
      </c>
      <c r="F83" s="3">
        <v>6700000</v>
      </c>
      <c r="G83" s="3">
        <v>46687054.254437603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900000</v>
      </c>
      <c r="O83" s="3">
        <v>1120000</v>
      </c>
      <c r="P83" s="3">
        <v>0</v>
      </c>
      <c r="Q83" s="3">
        <v>12483430.852405544</v>
      </c>
      <c r="R83" s="3">
        <v>0</v>
      </c>
      <c r="S83" s="3">
        <v>0</v>
      </c>
      <c r="T83" s="3">
        <v>29906938.66119764</v>
      </c>
      <c r="U83" s="3">
        <v>520549609.31630719</v>
      </c>
      <c r="V83" s="3">
        <v>0</v>
      </c>
      <c r="W83" s="3">
        <v>14706824029.981653</v>
      </c>
      <c r="X83" s="3">
        <v>0</v>
      </c>
      <c r="Y83" s="3">
        <v>0</v>
      </c>
      <c r="Z83" s="3">
        <v>12200000</v>
      </c>
      <c r="AA83" s="3">
        <v>0</v>
      </c>
      <c r="AB83" s="3">
        <v>0</v>
      </c>
      <c r="AC83" s="3">
        <v>0</v>
      </c>
      <c r="AD83" s="3">
        <v>55</v>
      </c>
      <c r="AE83" s="3">
        <v>0</v>
      </c>
      <c r="AF83" s="3">
        <v>0</v>
      </c>
      <c r="AG83" s="3">
        <v>0</v>
      </c>
      <c r="AH83" s="3">
        <v>23600</v>
      </c>
    </row>
    <row r="84" spans="1:34" x14ac:dyDescent="0.3">
      <c r="A84" s="1">
        <v>94</v>
      </c>
      <c r="B84" s="1" t="s">
        <v>123</v>
      </c>
      <c r="C84" s="2" t="s">
        <v>147</v>
      </c>
      <c r="D84" s="2" t="s">
        <v>151</v>
      </c>
      <c r="E84" s="3">
        <v>140000000</v>
      </c>
      <c r="F84" s="3">
        <v>8550000</v>
      </c>
      <c r="G84" s="3">
        <v>2519423141.9865026</v>
      </c>
      <c r="H84" s="3">
        <v>250</v>
      </c>
      <c r="I84" s="3">
        <v>84200000</v>
      </c>
      <c r="J84" s="3">
        <v>0</v>
      </c>
      <c r="K84" s="3">
        <v>0</v>
      </c>
      <c r="L84" s="3">
        <v>0</v>
      </c>
      <c r="M84" s="3">
        <v>0</v>
      </c>
      <c r="N84" s="3">
        <v>12500</v>
      </c>
      <c r="O84" s="3">
        <v>22400000</v>
      </c>
      <c r="P84" s="3">
        <v>0</v>
      </c>
      <c r="Q84" s="3">
        <v>2584538.2266245186</v>
      </c>
      <c r="R84" s="3">
        <v>0</v>
      </c>
      <c r="S84" s="3">
        <v>95248240.10333322</v>
      </c>
      <c r="T84" s="3">
        <v>62856031.819023162</v>
      </c>
      <c r="U84" s="3">
        <v>0</v>
      </c>
      <c r="V84" s="3">
        <v>0</v>
      </c>
      <c r="W84" s="3">
        <v>549552409.73344851</v>
      </c>
      <c r="X84" s="3">
        <v>0</v>
      </c>
      <c r="Y84" s="3">
        <v>0</v>
      </c>
      <c r="Z84" s="3">
        <v>0</v>
      </c>
      <c r="AA84" s="3">
        <v>0</v>
      </c>
      <c r="AB84" s="3">
        <v>1560000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1:34" x14ac:dyDescent="0.3">
      <c r="A85" s="1">
        <v>95</v>
      </c>
      <c r="B85" s="1" t="s">
        <v>124</v>
      </c>
      <c r="C85" s="2" t="s">
        <v>148</v>
      </c>
      <c r="D85" s="2" t="s">
        <v>151</v>
      </c>
      <c r="E85" s="3">
        <v>1640000</v>
      </c>
      <c r="F85" s="3">
        <v>710000</v>
      </c>
      <c r="G85" s="3">
        <v>18999144.892252389</v>
      </c>
      <c r="H85" s="3">
        <v>0</v>
      </c>
      <c r="I85" s="3">
        <v>2500</v>
      </c>
      <c r="J85" s="3">
        <v>0</v>
      </c>
      <c r="K85" s="3">
        <v>0</v>
      </c>
      <c r="L85" s="3">
        <v>0</v>
      </c>
      <c r="M85" s="3">
        <v>0</v>
      </c>
      <c r="N85" s="3">
        <v>72500</v>
      </c>
      <c r="O85" s="3">
        <v>247500</v>
      </c>
      <c r="P85" s="3">
        <v>0</v>
      </c>
      <c r="Q85" s="3">
        <v>0</v>
      </c>
      <c r="R85" s="3">
        <v>0</v>
      </c>
      <c r="S85" s="3">
        <v>0</v>
      </c>
      <c r="T85" s="3">
        <v>19152565.664255861</v>
      </c>
      <c r="U85" s="3">
        <v>0</v>
      </c>
      <c r="V85" s="3">
        <v>0</v>
      </c>
      <c r="W85" s="3">
        <v>5029819139.0030365</v>
      </c>
      <c r="X85" s="3">
        <v>1647.1784826180797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1:34" x14ac:dyDescent="0.3">
      <c r="A86" s="1">
        <v>96</v>
      </c>
      <c r="B86" s="1" t="s">
        <v>125</v>
      </c>
      <c r="C86" s="2" t="s">
        <v>146</v>
      </c>
      <c r="D86" s="2" t="s">
        <v>146</v>
      </c>
      <c r="E86" s="3">
        <v>455000</v>
      </c>
      <c r="F86" s="3">
        <v>44100</v>
      </c>
      <c r="G86" s="3">
        <v>373761956.84400165</v>
      </c>
      <c r="H86" s="3">
        <v>4410</v>
      </c>
      <c r="I86" s="3">
        <v>65000</v>
      </c>
      <c r="J86" s="3">
        <v>125</v>
      </c>
      <c r="K86" s="3">
        <v>10</v>
      </c>
      <c r="L86" s="3">
        <v>0</v>
      </c>
      <c r="M86" s="3">
        <v>70</v>
      </c>
      <c r="N86" s="3">
        <v>3400000</v>
      </c>
      <c r="O86" s="3">
        <v>11200000</v>
      </c>
      <c r="P86" s="3">
        <v>2895000</v>
      </c>
      <c r="Q86" s="3">
        <v>0</v>
      </c>
      <c r="R86" s="3">
        <v>0</v>
      </c>
      <c r="S86" s="3">
        <v>0</v>
      </c>
      <c r="T86" s="3">
        <v>16087625.948856343</v>
      </c>
      <c r="U86" s="3">
        <v>8264.4298048927722</v>
      </c>
      <c r="V86" s="3">
        <v>0</v>
      </c>
      <c r="W86" s="3">
        <v>1926411736.2628291</v>
      </c>
      <c r="X86" s="3">
        <v>32801226.984795105</v>
      </c>
      <c r="Y86" s="3">
        <v>180000</v>
      </c>
      <c r="Z86" s="3">
        <v>0</v>
      </c>
      <c r="AA86" s="3">
        <v>0</v>
      </c>
      <c r="AB86" s="3">
        <v>0</v>
      </c>
      <c r="AC86" s="3">
        <v>290</v>
      </c>
      <c r="AD86" s="3">
        <v>0</v>
      </c>
      <c r="AE86" s="3">
        <v>0</v>
      </c>
      <c r="AF86" s="3">
        <v>220</v>
      </c>
      <c r="AG86" s="3">
        <v>159000</v>
      </c>
      <c r="AH86" s="3">
        <v>48000</v>
      </c>
    </row>
    <row r="87" spans="1:34" x14ac:dyDescent="0.3">
      <c r="A87" s="1">
        <v>97</v>
      </c>
      <c r="B87" s="1" t="s">
        <v>126</v>
      </c>
      <c r="C87" s="2" t="s">
        <v>145</v>
      </c>
      <c r="D87" s="2" t="s">
        <v>151</v>
      </c>
      <c r="E87" s="3">
        <v>964000</v>
      </c>
      <c r="F87" s="3">
        <v>35900</v>
      </c>
      <c r="G87" s="3">
        <v>1365246168.3052144</v>
      </c>
      <c r="H87" s="3">
        <v>0</v>
      </c>
      <c r="I87" s="3">
        <v>827000</v>
      </c>
      <c r="J87" s="3">
        <v>0</v>
      </c>
      <c r="K87" s="3">
        <v>0</v>
      </c>
      <c r="L87" s="3">
        <v>10</v>
      </c>
      <c r="M87" s="3">
        <v>0</v>
      </c>
      <c r="N87" s="3">
        <v>0</v>
      </c>
      <c r="O87" s="3">
        <v>109000000</v>
      </c>
      <c r="P87" s="3">
        <v>0</v>
      </c>
      <c r="Q87" s="3">
        <v>0</v>
      </c>
      <c r="R87" s="3">
        <v>0</v>
      </c>
      <c r="S87" s="3">
        <v>0</v>
      </c>
      <c r="T87" s="3">
        <v>122253685.38958994</v>
      </c>
      <c r="U87" s="3">
        <v>0</v>
      </c>
      <c r="V87" s="3">
        <v>37252827177.348877</v>
      </c>
      <c r="W87" s="3">
        <v>26228884752.897964</v>
      </c>
      <c r="X87" s="3">
        <v>0</v>
      </c>
      <c r="Y87" s="3">
        <v>51800</v>
      </c>
      <c r="Z87" s="3">
        <v>0</v>
      </c>
      <c r="AA87" s="3">
        <v>5420000</v>
      </c>
      <c r="AB87" s="3">
        <v>0</v>
      </c>
      <c r="AC87" s="3">
        <v>0</v>
      </c>
      <c r="AD87" s="3">
        <v>0</v>
      </c>
      <c r="AE87" s="3">
        <v>0</v>
      </c>
      <c r="AF87" s="3">
        <v>180</v>
      </c>
      <c r="AG87" s="3">
        <v>0</v>
      </c>
      <c r="AH87" s="3">
        <v>69200</v>
      </c>
    </row>
    <row r="88" spans="1:34" x14ac:dyDescent="0.3">
      <c r="A88" s="1">
        <v>98</v>
      </c>
      <c r="B88" s="1" t="s">
        <v>127</v>
      </c>
      <c r="C88" s="2" t="s">
        <v>144</v>
      </c>
      <c r="D88" s="2" t="s">
        <v>151</v>
      </c>
      <c r="E88" s="3">
        <v>450000</v>
      </c>
      <c r="F88" s="3">
        <v>270000</v>
      </c>
      <c r="G88" s="3">
        <v>13755939.248041399</v>
      </c>
      <c r="H88" s="3">
        <v>1100</v>
      </c>
      <c r="I88" s="3">
        <v>2910</v>
      </c>
      <c r="J88" s="3">
        <v>0</v>
      </c>
      <c r="K88" s="3">
        <v>0</v>
      </c>
      <c r="L88" s="3">
        <v>0</v>
      </c>
      <c r="M88" s="3">
        <v>0</v>
      </c>
      <c r="N88" s="3">
        <v>2950000</v>
      </c>
      <c r="O88" s="3">
        <v>28500000</v>
      </c>
      <c r="P88" s="3">
        <v>0</v>
      </c>
      <c r="Q88" s="3">
        <v>0</v>
      </c>
      <c r="R88" s="3">
        <v>0</v>
      </c>
      <c r="S88" s="3">
        <v>0</v>
      </c>
      <c r="T88" s="3">
        <v>12424873.047760226</v>
      </c>
      <c r="U88" s="3">
        <v>44273985.912235193</v>
      </c>
      <c r="V88" s="3">
        <v>0</v>
      </c>
      <c r="W88" s="3">
        <v>735556798.48872685</v>
      </c>
      <c r="X88" s="3">
        <v>236.08405282864828</v>
      </c>
      <c r="Y88" s="3">
        <v>0</v>
      </c>
      <c r="Z88" s="3">
        <v>177000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1:34" x14ac:dyDescent="0.3">
      <c r="A89" s="1">
        <v>99</v>
      </c>
      <c r="B89" s="1" t="s">
        <v>128</v>
      </c>
      <c r="C89" s="2" t="s">
        <v>147</v>
      </c>
      <c r="D89" s="2" t="s">
        <v>151</v>
      </c>
      <c r="E89" s="3">
        <v>20000</v>
      </c>
      <c r="F89" s="3">
        <v>4640</v>
      </c>
      <c r="G89" s="3">
        <v>14683220.791039795</v>
      </c>
      <c r="H89" s="3">
        <v>0</v>
      </c>
      <c r="I89" s="3">
        <v>90</v>
      </c>
      <c r="J89" s="3">
        <v>0</v>
      </c>
      <c r="K89" s="3">
        <v>0</v>
      </c>
      <c r="L89" s="3">
        <v>0</v>
      </c>
      <c r="M89" s="3">
        <v>0</v>
      </c>
      <c r="N89" s="3">
        <v>2270</v>
      </c>
      <c r="O89" s="3">
        <v>24500</v>
      </c>
      <c r="P89" s="3">
        <v>0</v>
      </c>
      <c r="Q89" s="3">
        <v>0</v>
      </c>
      <c r="R89" s="3">
        <v>0</v>
      </c>
      <c r="S89" s="3">
        <v>1382575.0817648636</v>
      </c>
      <c r="T89" s="3">
        <v>4198092.07920908</v>
      </c>
      <c r="U89" s="3">
        <v>0</v>
      </c>
      <c r="V89" s="3">
        <v>0</v>
      </c>
      <c r="W89" s="3">
        <v>677572508.35555899</v>
      </c>
      <c r="X89" s="3">
        <v>0</v>
      </c>
      <c r="Y89" s="3">
        <v>0</v>
      </c>
      <c r="Z89" s="3">
        <v>0</v>
      </c>
      <c r="AA89" s="3">
        <v>0</v>
      </c>
      <c r="AB89" s="3">
        <v>1910000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1:34" x14ac:dyDescent="0.3">
      <c r="A90" s="1">
        <v>100</v>
      </c>
      <c r="B90" s="1" t="s">
        <v>129</v>
      </c>
      <c r="C90" s="2" t="s">
        <v>146</v>
      </c>
      <c r="D90" s="2" t="s">
        <v>146</v>
      </c>
      <c r="E90" s="3">
        <v>659090</v>
      </c>
      <c r="F90" s="3">
        <v>65454</v>
      </c>
      <c r="G90" s="3">
        <v>434539368.92138553</v>
      </c>
      <c r="H90" s="3">
        <v>8136</v>
      </c>
      <c r="I90" s="3">
        <v>47272</v>
      </c>
      <c r="J90" s="3">
        <v>10</v>
      </c>
      <c r="K90" s="3">
        <v>0</v>
      </c>
      <c r="L90" s="3">
        <v>0</v>
      </c>
      <c r="M90" s="3">
        <v>0</v>
      </c>
      <c r="N90" s="3">
        <v>1523809.5238095238</v>
      </c>
      <c r="O90" s="3">
        <v>3761904.7619047612</v>
      </c>
      <c r="P90" s="3">
        <v>6650000</v>
      </c>
      <c r="Q90" s="3">
        <v>0</v>
      </c>
      <c r="R90" s="3">
        <v>0</v>
      </c>
      <c r="S90" s="3">
        <v>0</v>
      </c>
      <c r="T90" s="3">
        <v>26797048.358173355</v>
      </c>
      <c r="U90" s="3">
        <v>113.13708498984759</v>
      </c>
      <c r="V90" s="3">
        <v>0</v>
      </c>
      <c r="W90" s="3">
        <v>5247822785.8872395</v>
      </c>
      <c r="X90" s="3">
        <v>20731583.157877326</v>
      </c>
      <c r="Y90" s="3">
        <v>81400</v>
      </c>
      <c r="Z90" s="3">
        <v>0</v>
      </c>
      <c r="AA90" s="3">
        <v>0</v>
      </c>
      <c r="AB90" s="3">
        <v>0</v>
      </c>
      <c r="AC90" s="3">
        <v>230</v>
      </c>
      <c r="AD90" s="3">
        <v>0</v>
      </c>
      <c r="AE90" s="3">
        <v>0</v>
      </c>
      <c r="AF90" s="3">
        <v>84</v>
      </c>
      <c r="AG90" s="3">
        <v>0</v>
      </c>
      <c r="AH90" s="3">
        <v>204400</v>
      </c>
    </row>
    <row r="91" spans="1:34" x14ac:dyDescent="0.3">
      <c r="A91" s="1">
        <v>103</v>
      </c>
      <c r="B91" s="1" t="s">
        <v>132</v>
      </c>
      <c r="C91" s="2" t="s">
        <v>144</v>
      </c>
      <c r="D91" s="2" t="s">
        <v>151</v>
      </c>
      <c r="E91" s="3">
        <v>167272</v>
      </c>
      <c r="F91" s="3">
        <v>83000</v>
      </c>
      <c r="G91" s="3">
        <v>92204810.370921522</v>
      </c>
      <c r="H91" s="3">
        <v>0</v>
      </c>
      <c r="I91" s="3">
        <v>100</v>
      </c>
      <c r="J91" s="3">
        <v>0</v>
      </c>
      <c r="K91" s="3">
        <v>0</v>
      </c>
      <c r="L91" s="3">
        <v>0</v>
      </c>
      <c r="M91" s="3">
        <v>0</v>
      </c>
      <c r="N91" s="3">
        <v>14545.454545454544</v>
      </c>
      <c r="O91" s="3">
        <v>79545.454545454515</v>
      </c>
      <c r="P91" s="3">
        <v>0</v>
      </c>
      <c r="Q91" s="3">
        <v>0</v>
      </c>
      <c r="R91" s="3">
        <v>0</v>
      </c>
      <c r="S91" s="3">
        <v>0</v>
      </c>
      <c r="T91" s="3">
        <v>24322709.901823178</v>
      </c>
      <c r="U91" s="3">
        <v>148512673.54436791</v>
      </c>
      <c r="V91" s="3">
        <v>0</v>
      </c>
      <c r="W91" s="3">
        <v>2215601192.2443109</v>
      </c>
      <c r="X91" s="3">
        <v>0</v>
      </c>
      <c r="Y91" s="3">
        <v>70800</v>
      </c>
      <c r="Z91" s="3">
        <v>2560000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1:34" x14ac:dyDescent="0.3">
      <c r="A92" s="1">
        <v>104</v>
      </c>
      <c r="B92" s="1" t="s">
        <v>133</v>
      </c>
      <c r="C92" s="2" t="s">
        <v>147</v>
      </c>
      <c r="D92" s="2" t="s">
        <v>151</v>
      </c>
      <c r="E92" s="3">
        <v>30000000</v>
      </c>
      <c r="F92" s="3">
        <v>5750000</v>
      </c>
      <c r="G92" s="3">
        <v>1748280323.3820705</v>
      </c>
      <c r="H92" s="3">
        <v>0</v>
      </c>
      <c r="I92" s="3">
        <v>1850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60000000</v>
      </c>
      <c r="P92" s="3">
        <v>0</v>
      </c>
      <c r="Q92" s="3">
        <v>0</v>
      </c>
      <c r="R92" s="3">
        <v>0</v>
      </c>
      <c r="S92" s="3">
        <v>8515696.875</v>
      </c>
      <c r="T92" s="3">
        <v>25283777.508850023</v>
      </c>
      <c r="U92" s="3">
        <v>0</v>
      </c>
      <c r="V92" s="3">
        <v>0</v>
      </c>
      <c r="W92" s="3">
        <v>1358828426.1447792</v>
      </c>
      <c r="X92" s="3">
        <v>0</v>
      </c>
      <c r="Y92" s="3">
        <v>0</v>
      </c>
      <c r="Z92" s="3">
        <v>0</v>
      </c>
      <c r="AA92" s="3">
        <v>0</v>
      </c>
      <c r="AB92" s="3">
        <v>1690000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1:34" x14ac:dyDescent="0.3">
      <c r="A93" s="1">
        <v>105</v>
      </c>
      <c r="B93" s="1" t="s">
        <v>234</v>
      </c>
      <c r="C93" s="2" t="s">
        <v>146</v>
      </c>
      <c r="D93" s="2" t="s">
        <v>146</v>
      </c>
      <c r="E93" s="3">
        <v>1890909</v>
      </c>
      <c r="F93" s="3">
        <v>87272</v>
      </c>
      <c r="G93" s="3">
        <v>1774908040.8795471</v>
      </c>
      <c r="H93" s="3">
        <v>7272</v>
      </c>
      <c r="I93" s="3">
        <v>76363</v>
      </c>
      <c r="J93" s="3">
        <v>3100</v>
      </c>
      <c r="K93" s="3">
        <v>0</v>
      </c>
      <c r="L93" s="3">
        <v>0</v>
      </c>
      <c r="M93" s="3">
        <v>50</v>
      </c>
      <c r="N93" s="3">
        <v>2772727.2727272725</v>
      </c>
      <c r="O93" s="3">
        <v>5954545.4545454541</v>
      </c>
      <c r="P93" s="3">
        <v>211000</v>
      </c>
      <c r="Q93" s="3">
        <v>0</v>
      </c>
      <c r="R93" s="3">
        <v>0</v>
      </c>
      <c r="S93" s="3">
        <v>0</v>
      </c>
      <c r="T93" s="3">
        <v>1836588.920262781</v>
      </c>
      <c r="U93" s="3">
        <v>120</v>
      </c>
      <c r="V93" s="3">
        <v>1526.302722267113</v>
      </c>
      <c r="W93" s="3">
        <v>3771775664.8025579</v>
      </c>
      <c r="X93" s="3">
        <v>68144788.179324999</v>
      </c>
      <c r="Y93" s="3">
        <v>140000</v>
      </c>
      <c r="Z93" s="3">
        <v>0</v>
      </c>
      <c r="AA93" s="3">
        <v>0</v>
      </c>
      <c r="AB93" s="3">
        <v>0</v>
      </c>
      <c r="AC93" s="3">
        <v>400</v>
      </c>
      <c r="AD93" s="3">
        <v>110</v>
      </c>
      <c r="AE93" s="3">
        <v>0</v>
      </c>
      <c r="AF93" s="3">
        <v>140</v>
      </c>
      <c r="AG93" s="3">
        <v>754000</v>
      </c>
      <c r="AH93" s="3">
        <v>246000</v>
      </c>
    </row>
    <row r="94" spans="1:34" x14ac:dyDescent="0.3">
      <c r="A94" s="1">
        <v>107</v>
      </c>
      <c r="B94" s="1" t="s">
        <v>235</v>
      </c>
      <c r="C94" s="2" t="s">
        <v>144</v>
      </c>
      <c r="D94" s="2" t="s">
        <v>151</v>
      </c>
      <c r="E94" s="3">
        <v>45909</v>
      </c>
      <c r="F94" s="3">
        <v>13181</v>
      </c>
      <c r="G94" s="3">
        <v>173575154.40402177</v>
      </c>
      <c r="H94" s="3">
        <v>197</v>
      </c>
      <c r="I94" s="3">
        <v>11318</v>
      </c>
      <c r="J94" s="3">
        <v>0</v>
      </c>
      <c r="K94" s="3">
        <v>0</v>
      </c>
      <c r="L94" s="3">
        <v>0</v>
      </c>
      <c r="M94" s="3">
        <v>0</v>
      </c>
      <c r="N94" s="3">
        <v>2000</v>
      </c>
      <c r="O94" s="3">
        <v>49090.909090909088</v>
      </c>
      <c r="P94" s="3">
        <v>0</v>
      </c>
      <c r="Q94" s="3">
        <v>7166283.0877316203</v>
      </c>
      <c r="R94" s="3">
        <v>0</v>
      </c>
      <c r="S94" s="3">
        <v>0</v>
      </c>
      <c r="T94" s="3">
        <v>8060406.7861816697</v>
      </c>
      <c r="U94" s="3">
        <v>115063962.44343963</v>
      </c>
      <c r="V94" s="3">
        <v>0</v>
      </c>
      <c r="W94" s="3">
        <v>1966703642.004302</v>
      </c>
      <c r="X94" s="3">
        <v>0</v>
      </c>
      <c r="Y94" s="3">
        <v>114000</v>
      </c>
      <c r="Z94" s="3">
        <v>1110000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1:34" x14ac:dyDescent="0.3">
      <c r="A95" s="1">
        <v>108</v>
      </c>
      <c r="B95" s="1" t="s">
        <v>236</v>
      </c>
      <c r="C95" s="2" t="s">
        <v>147</v>
      </c>
      <c r="D95" s="2" t="s">
        <v>151</v>
      </c>
      <c r="E95" s="3">
        <v>740909090</v>
      </c>
      <c r="F95" s="3">
        <v>2409090</v>
      </c>
      <c r="G95" s="3">
        <v>31035079110.995617</v>
      </c>
      <c r="H95" s="3">
        <v>185454</v>
      </c>
      <c r="I95" s="3">
        <v>135454</v>
      </c>
      <c r="J95" s="3">
        <v>0</v>
      </c>
      <c r="K95" s="3">
        <v>0</v>
      </c>
      <c r="L95" s="3">
        <v>0</v>
      </c>
      <c r="M95" s="3">
        <v>0</v>
      </c>
      <c r="N95" s="3">
        <v>47727272.727272727</v>
      </c>
      <c r="O95" s="3">
        <v>195454545.45454544</v>
      </c>
      <c r="P95" s="3">
        <v>0</v>
      </c>
      <c r="Q95" s="3">
        <v>0</v>
      </c>
      <c r="R95" s="3">
        <v>0</v>
      </c>
      <c r="S95" s="3">
        <v>31521.869010362101</v>
      </c>
      <c r="T95" s="3">
        <v>358382.63640548853</v>
      </c>
      <c r="U95" s="3">
        <v>0</v>
      </c>
      <c r="V95" s="3">
        <v>0</v>
      </c>
      <c r="W95" s="3">
        <v>888786.50574814645</v>
      </c>
      <c r="X95" s="3">
        <v>0</v>
      </c>
      <c r="Y95" s="3">
        <v>0</v>
      </c>
      <c r="Z95" s="3">
        <v>0</v>
      </c>
      <c r="AA95" s="3">
        <v>0</v>
      </c>
      <c r="AB95" s="3">
        <v>87000</v>
      </c>
      <c r="AC95" s="3">
        <v>0</v>
      </c>
      <c r="AD95" s="3">
        <v>0</v>
      </c>
      <c r="AE95" s="3">
        <v>0</v>
      </c>
      <c r="AF95" s="3">
        <v>100</v>
      </c>
      <c r="AG95" s="3">
        <v>0</v>
      </c>
      <c r="AH95" s="3">
        <v>0</v>
      </c>
    </row>
    <row r="96" spans="1:34" x14ac:dyDescent="0.3">
      <c r="A96" s="1">
        <v>109</v>
      </c>
      <c r="B96" s="1" t="s">
        <v>138</v>
      </c>
      <c r="C96" s="2" t="s">
        <v>146</v>
      </c>
      <c r="D96" s="2" t="s">
        <v>146</v>
      </c>
      <c r="E96" s="3">
        <v>1000000</v>
      </c>
      <c r="F96" s="3">
        <v>80000</v>
      </c>
      <c r="G96" s="3">
        <v>157195555.99365395</v>
      </c>
      <c r="H96" s="3">
        <v>3800</v>
      </c>
      <c r="I96" s="3">
        <v>260000</v>
      </c>
      <c r="J96" s="3">
        <v>6350</v>
      </c>
      <c r="K96" s="3">
        <v>0</v>
      </c>
      <c r="L96" s="3">
        <v>10</v>
      </c>
      <c r="M96" s="3">
        <v>20</v>
      </c>
      <c r="N96" s="3">
        <v>3500000</v>
      </c>
      <c r="O96" s="3">
        <v>5300000</v>
      </c>
      <c r="P96" s="3">
        <v>3562090.588961991</v>
      </c>
      <c r="Q96" s="3">
        <v>12630.250378921375</v>
      </c>
      <c r="R96" s="3">
        <v>1842052.3142283899</v>
      </c>
      <c r="S96" s="3">
        <v>0</v>
      </c>
      <c r="T96" s="3">
        <v>55239146.539548673</v>
      </c>
      <c r="U96" s="3">
        <v>120</v>
      </c>
      <c r="V96" s="3">
        <v>452.54833995939038</v>
      </c>
      <c r="W96" s="3">
        <v>1886210582.9811254</v>
      </c>
      <c r="X96" s="3">
        <v>30463501.345509186</v>
      </c>
      <c r="Y96" s="3">
        <v>462000</v>
      </c>
      <c r="Z96" s="3">
        <v>0</v>
      </c>
      <c r="AA96" s="3">
        <v>0</v>
      </c>
      <c r="AB96" s="3">
        <v>0</v>
      </c>
      <c r="AC96" s="3">
        <v>290</v>
      </c>
      <c r="AD96" s="3">
        <v>130</v>
      </c>
      <c r="AE96" s="3">
        <v>0</v>
      </c>
      <c r="AF96" s="3">
        <v>130</v>
      </c>
      <c r="AG96" s="3">
        <v>299600</v>
      </c>
      <c r="AH96" s="3">
        <v>36400</v>
      </c>
    </row>
    <row r="97" spans="1:34" x14ac:dyDescent="0.3">
      <c r="A97" s="1">
        <v>111</v>
      </c>
      <c r="B97" s="1" t="s">
        <v>140</v>
      </c>
      <c r="C97" s="2" t="s">
        <v>147</v>
      </c>
      <c r="D97" s="2" t="s">
        <v>151</v>
      </c>
      <c r="E97" s="3">
        <v>390000000</v>
      </c>
      <c r="F97" s="3">
        <v>120000000</v>
      </c>
      <c r="G97" s="3">
        <v>339095445.44465947</v>
      </c>
      <c r="H97" s="3">
        <v>880000</v>
      </c>
      <c r="I97" s="3">
        <v>26000000</v>
      </c>
      <c r="J97" s="3">
        <v>0</v>
      </c>
      <c r="K97" s="3">
        <v>0</v>
      </c>
      <c r="L97" s="3">
        <v>0</v>
      </c>
      <c r="M97" s="3">
        <v>0</v>
      </c>
      <c r="N97" s="3">
        <v>400000000</v>
      </c>
      <c r="O97" s="3">
        <v>1400000000</v>
      </c>
      <c r="P97" s="3">
        <v>0</v>
      </c>
      <c r="Q97" s="3">
        <v>0</v>
      </c>
      <c r="R97" s="3">
        <v>0</v>
      </c>
      <c r="S97" s="3">
        <v>68116442.796372309</v>
      </c>
      <c r="T97" s="3">
        <v>180120008.99775669</v>
      </c>
      <c r="U97" s="3">
        <v>0</v>
      </c>
      <c r="V97" s="3">
        <v>0</v>
      </c>
      <c r="W97" s="3">
        <v>1290669141.9052789</v>
      </c>
      <c r="X97" s="3">
        <v>0</v>
      </c>
      <c r="Y97" s="3">
        <v>0</v>
      </c>
      <c r="Z97" s="3">
        <v>0</v>
      </c>
      <c r="AA97" s="3">
        <v>0</v>
      </c>
      <c r="AB97" s="3">
        <v>2680000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1:34" x14ac:dyDescent="0.3">
      <c r="A98" s="1">
        <v>112</v>
      </c>
      <c r="B98" s="1" t="s">
        <v>141</v>
      </c>
      <c r="C98" s="2" t="s">
        <v>144</v>
      </c>
      <c r="D98" s="2" t="s">
        <v>151</v>
      </c>
      <c r="E98" s="3">
        <v>58000</v>
      </c>
      <c r="F98" s="3">
        <v>31000</v>
      </c>
      <c r="G98" s="3">
        <v>25779096.30366433</v>
      </c>
      <c r="H98" s="3">
        <v>2700</v>
      </c>
      <c r="I98" s="3">
        <v>350</v>
      </c>
      <c r="J98" s="3">
        <v>0</v>
      </c>
      <c r="K98" s="3">
        <v>0</v>
      </c>
      <c r="L98" s="3">
        <v>0</v>
      </c>
      <c r="M98" s="3">
        <v>0</v>
      </c>
      <c r="N98" s="3">
        <v>2700</v>
      </c>
      <c r="O98" s="3">
        <v>34000</v>
      </c>
      <c r="P98" s="3">
        <v>0</v>
      </c>
      <c r="Q98" s="3">
        <v>6717.8292344130314</v>
      </c>
      <c r="R98" s="3">
        <v>230782.01449455746</v>
      </c>
      <c r="S98" s="3">
        <v>0</v>
      </c>
      <c r="T98" s="3">
        <v>14508147.4235895</v>
      </c>
      <c r="U98" s="3">
        <v>4147446.592977419</v>
      </c>
      <c r="V98" s="3">
        <v>0</v>
      </c>
      <c r="W98" s="3">
        <v>469231518.39017802</v>
      </c>
      <c r="X98" s="3">
        <v>0</v>
      </c>
      <c r="Y98" s="3">
        <v>0</v>
      </c>
      <c r="Z98" s="3">
        <v>238000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1:34" x14ac:dyDescent="0.3">
      <c r="A99" s="1">
        <v>113</v>
      </c>
      <c r="B99" s="1" t="s">
        <v>142</v>
      </c>
      <c r="C99" s="2" t="s">
        <v>147</v>
      </c>
      <c r="D99" s="2" t="s">
        <v>151</v>
      </c>
      <c r="E99" s="3">
        <v>110000000</v>
      </c>
      <c r="F99" s="3">
        <v>11000000</v>
      </c>
      <c r="G99" s="3">
        <v>68213634.715039194</v>
      </c>
      <c r="H99" s="3">
        <v>1300</v>
      </c>
      <c r="I99" s="3">
        <v>83000000</v>
      </c>
      <c r="J99" s="3">
        <v>0</v>
      </c>
      <c r="K99" s="3">
        <v>0</v>
      </c>
      <c r="L99" s="3">
        <v>0</v>
      </c>
      <c r="M99" s="3">
        <v>0</v>
      </c>
      <c r="N99" s="3">
        <v>9100000</v>
      </c>
      <c r="O99" s="3">
        <v>19000000</v>
      </c>
      <c r="P99" s="3">
        <v>0</v>
      </c>
      <c r="Q99" s="3">
        <v>2789497.3937758058</v>
      </c>
      <c r="R99" s="3">
        <v>45983.493201597856</v>
      </c>
      <c r="S99" s="3">
        <v>1417937.0807684434</v>
      </c>
      <c r="T99" s="3">
        <v>17384089.930383287</v>
      </c>
      <c r="U99" s="3">
        <v>0</v>
      </c>
      <c r="V99" s="3">
        <v>0</v>
      </c>
      <c r="W99" s="3">
        <v>5671228819.0948629</v>
      </c>
      <c r="X99" s="3">
        <v>0</v>
      </c>
      <c r="Y99" s="3">
        <v>0</v>
      </c>
      <c r="Z99" s="3">
        <v>0</v>
      </c>
      <c r="AA99" s="3">
        <v>0</v>
      </c>
      <c r="AB99" s="3">
        <v>32600000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C961-4D43-408F-8CD3-228E945B62ED}">
  <dimension ref="A1:AE102"/>
  <sheetViews>
    <sheetView workbookViewId="0">
      <selection sqref="A1:XFD1048576"/>
    </sheetView>
  </sheetViews>
  <sheetFormatPr baseColWidth="10" defaultRowHeight="14.4" x14ac:dyDescent="0.3"/>
  <cols>
    <col min="1" max="1" width="11.5546875" style="2"/>
    <col min="2" max="3" width="13.44140625" style="3" bestFit="1" customWidth="1"/>
    <col min="4" max="4" width="15.44140625" style="3" bestFit="1" customWidth="1"/>
    <col min="5" max="5" width="11.6640625" style="3" bestFit="1" customWidth="1"/>
    <col min="6" max="6" width="13.44140625" style="3" bestFit="1" customWidth="1"/>
    <col min="7" max="10" width="11.6640625" style="3" bestFit="1" customWidth="1"/>
    <col min="11" max="11" width="13.44140625" style="3" bestFit="1" customWidth="1"/>
    <col min="12" max="12" width="14.44140625" style="3" bestFit="1" customWidth="1"/>
    <col min="13" max="14" width="12.44140625" style="3" bestFit="1" customWidth="1"/>
    <col min="15" max="15" width="11.6640625" style="3" bestFit="1" customWidth="1"/>
    <col min="16" max="16" width="12.44140625" style="3" bestFit="1" customWidth="1"/>
    <col min="17" max="17" width="14.44140625" style="3" bestFit="1" customWidth="1"/>
    <col min="18" max="19" width="15.44140625" style="3" bestFit="1" customWidth="1"/>
    <col min="20" max="20" width="16.5546875" style="3" bestFit="1" customWidth="1"/>
    <col min="21" max="22" width="12.44140625" style="3" bestFit="1" customWidth="1"/>
    <col min="23" max="25" width="13.44140625" style="3" bestFit="1" customWidth="1"/>
    <col min="26" max="31" width="11.6640625" style="3" bestFit="1" customWidth="1"/>
    <col min="32" max="16384" width="11.5546875" style="1"/>
  </cols>
  <sheetData>
    <row r="1" spans="1:31" x14ac:dyDescent="0.3">
      <c r="A1" s="2" t="s">
        <v>143</v>
      </c>
      <c r="B1" s="3" t="s">
        <v>0</v>
      </c>
      <c r="C1" s="3" t="s">
        <v>1</v>
      </c>
      <c r="D1" s="3" t="s">
        <v>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4" customFormat="1" x14ac:dyDescent="0.3"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s="4" customFormat="1" x14ac:dyDescent="0.3">
      <c r="B3" s="3">
        <v>0.05</v>
      </c>
      <c r="C3" s="3">
        <v>0.05</v>
      </c>
      <c r="D3" s="3">
        <v>478.63009232263886</v>
      </c>
      <c r="E3" s="3">
        <v>0.5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50</v>
      </c>
      <c r="L3" s="3">
        <v>50</v>
      </c>
      <c r="M3" s="3">
        <v>64000</v>
      </c>
      <c r="N3" s="3">
        <v>30000</v>
      </c>
      <c r="O3" s="3">
        <v>36000</v>
      </c>
      <c r="P3" s="3">
        <v>66000</v>
      </c>
      <c r="Q3" s="3">
        <v>64000</v>
      </c>
      <c r="R3" s="3">
        <v>478.63009232263886</v>
      </c>
      <c r="S3" s="3">
        <v>478.63009232263886</v>
      </c>
      <c r="T3" s="3">
        <v>478.63009232263886</v>
      </c>
      <c r="U3" s="3">
        <v>478.63009232263886</v>
      </c>
      <c r="V3" s="3">
        <v>16000</v>
      </c>
      <c r="W3" s="3">
        <v>10000</v>
      </c>
      <c r="X3" s="3">
        <v>16000</v>
      </c>
      <c r="Y3" s="3">
        <v>10000</v>
      </c>
      <c r="Z3" s="3">
        <v>50</v>
      </c>
      <c r="AA3" s="3">
        <v>50</v>
      </c>
      <c r="AB3" s="3">
        <v>50</v>
      </c>
      <c r="AC3" s="3">
        <v>50</v>
      </c>
      <c r="AD3" s="3">
        <v>40000</v>
      </c>
      <c r="AE3" s="3">
        <v>800</v>
      </c>
    </row>
    <row r="4" spans="1:31" s="4" customFormat="1" x14ac:dyDescent="0.3"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1</v>
      </c>
      <c r="S4" s="4">
        <v>1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">
      <c r="A5" s="2" t="s">
        <v>151</v>
      </c>
      <c r="B5" s="3">
        <v>5430000</v>
      </c>
      <c r="C5" s="3">
        <v>210000</v>
      </c>
      <c r="D5" s="3">
        <v>104713384.2549808</v>
      </c>
      <c r="E5" s="3">
        <v>800</v>
      </c>
      <c r="F5" s="3">
        <v>266000</v>
      </c>
      <c r="G5" s="3">
        <v>0</v>
      </c>
      <c r="H5" s="3">
        <v>50</v>
      </c>
      <c r="I5" s="3">
        <v>0</v>
      </c>
      <c r="J5" s="3">
        <v>0</v>
      </c>
      <c r="K5" s="3">
        <v>0</v>
      </c>
      <c r="L5" s="3">
        <v>840000</v>
      </c>
      <c r="M5" s="3">
        <v>0</v>
      </c>
      <c r="N5" s="3">
        <v>0</v>
      </c>
      <c r="O5" s="3">
        <v>0</v>
      </c>
      <c r="P5" s="3">
        <v>0</v>
      </c>
      <c r="Q5" s="3">
        <v>46399356.767162897</v>
      </c>
      <c r="R5" s="3">
        <v>58252.745858028007</v>
      </c>
      <c r="S5" s="3">
        <v>7509034.0044509051</v>
      </c>
      <c r="T5" s="3">
        <v>779069426.09932685</v>
      </c>
      <c r="U5" s="3">
        <v>221051.25436423111</v>
      </c>
      <c r="V5" s="3">
        <v>524000</v>
      </c>
      <c r="W5" s="3">
        <v>16700000</v>
      </c>
      <c r="X5" s="3">
        <v>0</v>
      </c>
      <c r="Y5" s="3">
        <v>0</v>
      </c>
      <c r="Z5" s="3">
        <v>100</v>
      </c>
      <c r="AA5" s="3">
        <v>480</v>
      </c>
      <c r="AB5" s="3">
        <v>0</v>
      </c>
      <c r="AC5" s="3">
        <v>0</v>
      </c>
      <c r="AD5" s="3">
        <v>0</v>
      </c>
      <c r="AE5" s="3">
        <v>0</v>
      </c>
    </row>
    <row r="6" spans="1:31" x14ac:dyDescent="0.3">
      <c r="A6" s="2" t="s">
        <v>151</v>
      </c>
      <c r="B6" s="3">
        <v>31700000</v>
      </c>
      <c r="C6" s="3">
        <v>27000</v>
      </c>
      <c r="D6" s="3">
        <v>122869900.71993595</v>
      </c>
      <c r="E6" s="3">
        <v>34000</v>
      </c>
      <c r="F6" s="3">
        <v>2050000</v>
      </c>
      <c r="G6" s="3">
        <v>0</v>
      </c>
      <c r="H6" s="3">
        <v>0</v>
      </c>
      <c r="I6" s="3">
        <v>3250</v>
      </c>
      <c r="J6" s="3">
        <v>0</v>
      </c>
      <c r="K6" s="3">
        <v>0</v>
      </c>
      <c r="L6" s="3">
        <v>1856818.1818181816</v>
      </c>
      <c r="M6" s="3">
        <v>0</v>
      </c>
      <c r="N6" s="3">
        <v>0</v>
      </c>
      <c r="O6" s="3">
        <v>0</v>
      </c>
      <c r="P6" s="3">
        <v>0</v>
      </c>
      <c r="Q6" s="3">
        <v>34921425.226402603</v>
      </c>
      <c r="R6" s="3">
        <v>0</v>
      </c>
      <c r="S6" s="3">
        <v>4866153579.3123178</v>
      </c>
      <c r="T6" s="3">
        <v>3199791383.1611419</v>
      </c>
      <c r="U6" s="3">
        <v>176521.14157618629</v>
      </c>
      <c r="V6" s="3">
        <v>175000</v>
      </c>
      <c r="W6" s="3">
        <v>0</v>
      </c>
      <c r="X6" s="3">
        <v>404000000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24000</v>
      </c>
    </row>
    <row r="7" spans="1:31" x14ac:dyDescent="0.3">
      <c r="A7" s="2" t="s">
        <v>151</v>
      </c>
      <c r="B7" s="3">
        <v>35400000</v>
      </c>
      <c r="C7" s="3">
        <v>23400</v>
      </c>
      <c r="D7" s="3">
        <v>489602326.64795661</v>
      </c>
      <c r="E7" s="3">
        <v>17300</v>
      </c>
      <c r="F7" s="3">
        <v>32500000</v>
      </c>
      <c r="G7" s="3">
        <v>0</v>
      </c>
      <c r="H7" s="3">
        <v>0</v>
      </c>
      <c r="I7" s="3">
        <v>33650</v>
      </c>
      <c r="J7" s="3">
        <v>0</v>
      </c>
      <c r="K7" s="3">
        <v>0</v>
      </c>
      <c r="L7" s="3">
        <v>1772727.2727272727</v>
      </c>
      <c r="M7" s="3">
        <v>0</v>
      </c>
      <c r="N7" s="3">
        <v>0</v>
      </c>
      <c r="O7" s="3">
        <v>0</v>
      </c>
      <c r="P7" s="3">
        <v>0</v>
      </c>
      <c r="Q7" s="3">
        <v>14887849.1601665</v>
      </c>
      <c r="R7" s="3">
        <v>0</v>
      </c>
      <c r="S7" s="3">
        <v>1768057968.4049728</v>
      </c>
      <c r="T7" s="3">
        <v>3476284847.6026893</v>
      </c>
      <c r="U7" s="3">
        <v>1294.4793547986774</v>
      </c>
      <c r="V7" s="3">
        <v>82600</v>
      </c>
      <c r="W7" s="3">
        <v>0</v>
      </c>
      <c r="X7" s="3">
        <v>116000000</v>
      </c>
      <c r="Y7" s="3">
        <v>0</v>
      </c>
      <c r="Z7" s="3">
        <v>0</v>
      </c>
      <c r="AA7" s="3">
        <v>0</v>
      </c>
      <c r="AB7" s="3">
        <v>0</v>
      </c>
      <c r="AC7" s="3">
        <v>330</v>
      </c>
      <c r="AD7" s="3">
        <v>0</v>
      </c>
      <c r="AE7" s="3">
        <v>164000</v>
      </c>
    </row>
    <row r="8" spans="1:31" x14ac:dyDescent="0.3">
      <c r="A8" s="2" t="s">
        <v>151</v>
      </c>
      <c r="B8" s="3">
        <v>26900000</v>
      </c>
      <c r="C8" s="3">
        <v>258000</v>
      </c>
      <c r="D8" s="3">
        <v>593500121.94803369</v>
      </c>
      <c r="E8" s="3">
        <v>3230</v>
      </c>
      <c r="F8" s="3">
        <v>1620000</v>
      </c>
      <c r="G8" s="3">
        <v>0</v>
      </c>
      <c r="H8" s="3">
        <v>0</v>
      </c>
      <c r="I8" s="3">
        <v>0</v>
      </c>
      <c r="J8" s="3">
        <v>171.42857142857142</v>
      </c>
      <c r="K8" s="3">
        <v>0</v>
      </c>
      <c r="L8" s="3">
        <v>982500</v>
      </c>
      <c r="M8" s="3">
        <v>0</v>
      </c>
      <c r="N8" s="3">
        <v>0</v>
      </c>
      <c r="O8" s="3">
        <v>0</v>
      </c>
      <c r="P8" s="3">
        <v>3762004.4892194574</v>
      </c>
      <c r="Q8" s="3">
        <v>326303671.18487501</v>
      </c>
      <c r="R8" s="3">
        <v>0</v>
      </c>
      <c r="S8" s="3">
        <v>0</v>
      </c>
      <c r="T8" s="3">
        <v>7406617217.7575359</v>
      </c>
      <c r="U8" s="3">
        <v>720867.44386179617</v>
      </c>
      <c r="V8" s="3">
        <v>0</v>
      </c>
      <c r="W8" s="3">
        <v>0</v>
      </c>
      <c r="X8" s="3">
        <v>0</v>
      </c>
      <c r="Y8" s="3">
        <v>765000000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3">
      <c r="A9" s="2" t="s">
        <v>151</v>
      </c>
      <c r="B9" s="3">
        <v>1220000</v>
      </c>
      <c r="C9" s="3">
        <v>25800</v>
      </c>
      <c r="D9" s="3">
        <v>83422664.363256574</v>
      </c>
      <c r="E9" s="3">
        <v>8770</v>
      </c>
      <c r="F9" s="3">
        <v>237000</v>
      </c>
      <c r="G9" s="3">
        <v>0</v>
      </c>
      <c r="H9" s="3">
        <v>0</v>
      </c>
      <c r="I9" s="3">
        <v>20</v>
      </c>
      <c r="J9" s="3">
        <v>345.45454545454538</v>
      </c>
      <c r="K9" s="3">
        <v>6500</v>
      </c>
      <c r="L9" s="3">
        <v>194545.45454545456</v>
      </c>
      <c r="M9" s="3">
        <v>0</v>
      </c>
      <c r="N9" s="3">
        <v>0</v>
      </c>
      <c r="O9" s="3">
        <v>0</v>
      </c>
      <c r="P9" s="3">
        <v>9736136.3331725467</v>
      </c>
      <c r="Q9" s="3">
        <v>113136296.99875399</v>
      </c>
      <c r="R9" s="3">
        <v>0</v>
      </c>
      <c r="S9" s="3">
        <v>0</v>
      </c>
      <c r="T9" s="3">
        <v>18489962604.548374</v>
      </c>
      <c r="U9" s="3">
        <v>871415.76392626727</v>
      </c>
      <c r="V9" s="3">
        <v>0</v>
      </c>
      <c r="W9" s="3">
        <v>0</v>
      </c>
      <c r="X9" s="3">
        <v>0</v>
      </c>
      <c r="Y9" s="3">
        <v>217000000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3">
      <c r="A10" s="2" t="s">
        <v>146</v>
      </c>
      <c r="B10" s="3">
        <v>459090</v>
      </c>
      <c r="C10" s="3">
        <v>31000</v>
      </c>
      <c r="D10" s="3">
        <v>176287424.81549048</v>
      </c>
      <c r="E10" s="3">
        <v>38636</v>
      </c>
      <c r="F10" s="3">
        <v>257207</v>
      </c>
      <c r="G10" s="3">
        <v>4900</v>
      </c>
      <c r="H10" s="3">
        <v>5</v>
      </c>
      <c r="I10" s="3">
        <v>210</v>
      </c>
      <c r="J10" s="3">
        <v>5</v>
      </c>
      <c r="K10" s="3">
        <v>5000.0000000000009</v>
      </c>
      <c r="L10" s="3">
        <v>70909.090909090912</v>
      </c>
      <c r="M10" s="3">
        <v>0</v>
      </c>
      <c r="N10" s="3">
        <v>0</v>
      </c>
      <c r="O10" s="3">
        <v>0</v>
      </c>
      <c r="P10" s="3">
        <v>0</v>
      </c>
      <c r="Q10" s="3">
        <v>102689717.70646071</v>
      </c>
      <c r="R10" s="3">
        <v>0</v>
      </c>
      <c r="S10" s="3">
        <v>1428.84568795934</v>
      </c>
      <c r="T10" s="3">
        <v>1927906005.9217143</v>
      </c>
      <c r="U10" s="3">
        <v>7612594.4718120694</v>
      </c>
      <c r="V10" s="3">
        <v>75000</v>
      </c>
      <c r="W10" s="3">
        <v>0</v>
      </c>
      <c r="X10" s="3">
        <v>0</v>
      </c>
      <c r="Y10" s="3">
        <v>0</v>
      </c>
      <c r="Z10" s="3">
        <v>304</v>
      </c>
      <c r="AA10" s="3">
        <v>509</v>
      </c>
      <c r="AB10" s="3">
        <v>116</v>
      </c>
      <c r="AC10" s="3">
        <v>313</v>
      </c>
      <c r="AD10" s="3">
        <v>334000</v>
      </c>
      <c r="AE10" s="3">
        <v>43200</v>
      </c>
    </row>
    <row r="11" spans="1:31" x14ac:dyDescent="0.3">
      <c r="A11" s="2" t="s">
        <v>146</v>
      </c>
      <c r="B11" s="3">
        <v>440909</v>
      </c>
      <c r="C11" s="3">
        <v>35000</v>
      </c>
      <c r="D11" s="3">
        <v>576646013.40805268</v>
      </c>
      <c r="E11" s="3">
        <v>21363</v>
      </c>
      <c r="F11" s="3">
        <v>217117</v>
      </c>
      <c r="G11" s="3">
        <v>6300</v>
      </c>
      <c r="H11" s="3">
        <v>5</v>
      </c>
      <c r="I11" s="3">
        <v>0</v>
      </c>
      <c r="J11" s="3">
        <v>5</v>
      </c>
      <c r="K11" s="3">
        <v>2000</v>
      </c>
      <c r="L11" s="3">
        <v>76363.636363636368</v>
      </c>
      <c r="M11" s="3">
        <v>4220000</v>
      </c>
      <c r="N11" s="3">
        <v>0</v>
      </c>
      <c r="O11" s="3">
        <v>0</v>
      </c>
      <c r="P11" s="3">
        <v>0</v>
      </c>
      <c r="Q11" s="3">
        <v>31290100.639500599</v>
      </c>
      <c r="R11" s="3">
        <v>0</v>
      </c>
      <c r="S11" s="3">
        <v>3746.3582316697903</v>
      </c>
      <c r="T11" s="3">
        <v>1587613281.8609478</v>
      </c>
      <c r="U11" s="3">
        <v>7182326.4965543412</v>
      </c>
      <c r="V11" s="3">
        <v>16500</v>
      </c>
      <c r="W11" s="3">
        <v>0</v>
      </c>
      <c r="X11" s="3">
        <v>0</v>
      </c>
      <c r="Y11" s="3">
        <v>0</v>
      </c>
      <c r="Z11" s="3">
        <v>361</v>
      </c>
      <c r="AA11" s="3">
        <v>391</v>
      </c>
      <c r="AB11" s="3">
        <v>281</v>
      </c>
      <c r="AC11" s="3">
        <v>250</v>
      </c>
      <c r="AD11" s="3">
        <v>58300</v>
      </c>
      <c r="AE11" s="3">
        <v>18400</v>
      </c>
    </row>
    <row r="12" spans="1:31" x14ac:dyDescent="0.3">
      <c r="A12" s="2" t="s">
        <v>151</v>
      </c>
      <c r="B12" s="3">
        <v>6000000</v>
      </c>
      <c r="C12" s="3">
        <v>12272</v>
      </c>
      <c r="D12" s="3">
        <v>318884700.10612929</v>
      </c>
      <c r="E12" s="3">
        <v>50909</v>
      </c>
      <c r="F12" s="3">
        <v>2954545</v>
      </c>
      <c r="G12" s="3">
        <v>0</v>
      </c>
      <c r="H12" s="3">
        <v>0</v>
      </c>
      <c r="I12" s="3">
        <v>16100</v>
      </c>
      <c r="J12" s="3">
        <v>5</v>
      </c>
      <c r="K12" s="3">
        <v>50000</v>
      </c>
      <c r="L12" s="3">
        <v>32950000</v>
      </c>
      <c r="M12" s="3">
        <v>0</v>
      </c>
      <c r="N12" s="3">
        <v>0</v>
      </c>
      <c r="O12" s="3">
        <v>0</v>
      </c>
      <c r="P12" s="3">
        <v>0</v>
      </c>
      <c r="Q12" s="3">
        <v>46700008.540051088</v>
      </c>
      <c r="R12" s="3">
        <v>0</v>
      </c>
      <c r="S12" s="3">
        <v>526283659.44292212</v>
      </c>
      <c r="T12" s="3">
        <v>8803633277.1746788</v>
      </c>
      <c r="U12" s="3">
        <v>11062.064906698026</v>
      </c>
      <c r="V12" s="3">
        <v>318000</v>
      </c>
      <c r="W12" s="3">
        <v>0</v>
      </c>
      <c r="X12" s="3">
        <v>16500000</v>
      </c>
      <c r="Y12" s="3">
        <v>0</v>
      </c>
      <c r="Z12" s="3">
        <v>137</v>
      </c>
      <c r="AA12" s="3">
        <v>92</v>
      </c>
      <c r="AB12" s="3">
        <v>0</v>
      </c>
      <c r="AC12" s="3">
        <v>324</v>
      </c>
      <c r="AD12" s="3">
        <v>0</v>
      </c>
      <c r="AE12" s="3">
        <v>268800</v>
      </c>
    </row>
    <row r="13" spans="1:31" x14ac:dyDescent="0.3">
      <c r="A13" s="2" t="s">
        <v>151</v>
      </c>
      <c r="B13" s="3">
        <v>1959016</v>
      </c>
      <c r="C13" s="3">
        <v>105000</v>
      </c>
      <c r="D13" s="3">
        <v>262934306.97522908</v>
      </c>
      <c r="E13" s="3">
        <v>64090</v>
      </c>
      <c r="F13" s="3">
        <v>2040983</v>
      </c>
      <c r="G13" s="3">
        <v>0</v>
      </c>
      <c r="H13" s="3">
        <v>0</v>
      </c>
      <c r="I13" s="3">
        <v>32950</v>
      </c>
      <c r="J13" s="3">
        <v>0</v>
      </c>
      <c r="K13" s="3">
        <v>5500</v>
      </c>
      <c r="L13" s="3">
        <v>5550000</v>
      </c>
      <c r="M13" s="3">
        <v>0</v>
      </c>
      <c r="N13" s="3">
        <v>0</v>
      </c>
      <c r="O13" s="3">
        <v>0</v>
      </c>
      <c r="P13" s="3">
        <v>0</v>
      </c>
      <c r="Q13" s="3">
        <v>39480892.342886284</v>
      </c>
      <c r="R13" s="3">
        <v>0</v>
      </c>
      <c r="S13" s="3">
        <v>250742047.46149775</v>
      </c>
      <c r="T13" s="3">
        <v>2882681837.4189587</v>
      </c>
      <c r="U13" s="3">
        <v>0</v>
      </c>
      <c r="V13" s="3">
        <v>0</v>
      </c>
      <c r="W13" s="3">
        <v>0</v>
      </c>
      <c r="X13" s="3">
        <v>7580000</v>
      </c>
      <c r="Y13" s="3">
        <v>0</v>
      </c>
      <c r="Z13" s="3">
        <v>137</v>
      </c>
      <c r="AA13" s="3">
        <v>98</v>
      </c>
      <c r="AB13" s="3">
        <v>0</v>
      </c>
      <c r="AC13" s="3">
        <v>262</v>
      </c>
      <c r="AD13" s="3">
        <v>0</v>
      </c>
      <c r="AE13" s="3">
        <v>1100000</v>
      </c>
    </row>
    <row r="14" spans="1:31" x14ac:dyDescent="0.3">
      <c r="A14" s="2" t="s">
        <v>151</v>
      </c>
      <c r="B14" s="3">
        <v>1729729</v>
      </c>
      <c r="C14" s="3">
        <v>13636</v>
      </c>
      <c r="D14" s="3">
        <v>496827.3857186216</v>
      </c>
      <c r="E14" s="3">
        <v>550</v>
      </c>
      <c r="F14" s="3">
        <v>157142</v>
      </c>
      <c r="G14" s="3">
        <v>0</v>
      </c>
      <c r="H14" s="3">
        <v>275</v>
      </c>
      <c r="I14" s="3">
        <v>0</v>
      </c>
      <c r="J14" s="3">
        <v>0</v>
      </c>
      <c r="K14" s="3">
        <v>18500</v>
      </c>
      <c r="L14" s="3">
        <v>1230000</v>
      </c>
      <c r="M14" s="3">
        <v>0</v>
      </c>
      <c r="N14" s="3">
        <v>0</v>
      </c>
      <c r="O14" s="3">
        <v>0</v>
      </c>
      <c r="P14" s="3">
        <v>0</v>
      </c>
      <c r="Q14" s="3">
        <v>2279958594.3846712</v>
      </c>
      <c r="R14" s="3">
        <v>13981.473455970226</v>
      </c>
      <c r="S14" s="3">
        <v>4863.5789291426127</v>
      </c>
      <c r="T14" s="3">
        <v>63817377.917805426</v>
      </c>
      <c r="U14" s="3">
        <v>0</v>
      </c>
      <c r="V14" s="3">
        <v>42400</v>
      </c>
      <c r="W14" s="3">
        <v>151000000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3">
      <c r="A15" s="2" t="s">
        <v>146</v>
      </c>
      <c r="B15" s="3">
        <v>819004</v>
      </c>
      <c r="C15" s="3">
        <v>45909</v>
      </c>
      <c r="D15" s="3">
        <v>700861195.10926437</v>
      </c>
      <c r="E15" s="3">
        <v>25454</v>
      </c>
      <c r="F15" s="3">
        <v>495454</v>
      </c>
      <c r="G15" s="3">
        <v>13500</v>
      </c>
      <c r="H15" s="3">
        <v>15</v>
      </c>
      <c r="I15" s="3">
        <v>390</v>
      </c>
      <c r="J15" s="3">
        <v>75</v>
      </c>
      <c r="K15" s="3">
        <v>1800</v>
      </c>
      <c r="L15" s="3">
        <v>55163.934426229505</v>
      </c>
      <c r="M15" s="3">
        <v>0</v>
      </c>
      <c r="N15" s="3">
        <v>0</v>
      </c>
      <c r="O15" s="3">
        <v>0</v>
      </c>
      <c r="P15" s="3">
        <v>0</v>
      </c>
      <c r="Q15" s="3">
        <v>18664096.015995242</v>
      </c>
      <c r="R15" s="3">
        <v>0</v>
      </c>
      <c r="S15" s="3">
        <v>0</v>
      </c>
      <c r="T15" s="3">
        <v>4118261692.5379653</v>
      </c>
      <c r="U15" s="3">
        <v>6316785.9271928342</v>
      </c>
      <c r="V15" s="3">
        <v>49200</v>
      </c>
      <c r="W15" s="3">
        <v>0</v>
      </c>
      <c r="X15" s="3">
        <v>0</v>
      </c>
      <c r="Y15" s="3">
        <v>0</v>
      </c>
      <c r="Z15" s="3">
        <v>510</v>
      </c>
      <c r="AA15" s="3">
        <v>620</v>
      </c>
      <c r="AB15" s="3">
        <v>0</v>
      </c>
      <c r="AC15" s="3">
        <v>380</v>
      </c>
      <c r="AD15" s="3">
        <v>0</v>
      </c>
      <c r="AE15" s="3">
        <v>50400</v>
      </c>
    </row>
    <row r="16" spans="1:31" x14ac:dyDescent="0.3">
      <c r="A16" s="2" t="s">
        <v>146</v>
      </c>
      <c r="B16" s="3">
        <v>277049</v>
      </c>
      <c r="C16" s="3">
        <v>35909</v>
      </c>
      <c r="D16" s="3">
        <v>195413484.14375094</v>
      </c>
      <c r="E16" s="3">
        <v>12252</v>
      </c>
      <c r="F16" s="3">
        <v>193693</v>
      </c>
      <c r="G16" s="3">
        <v>2538.6363636363635</v>
      </c>
      <c r="H16" s="3">
        <v>40</v>
      </c>
      <c r="I16" s="3">
        <v>2280</v>
      </c>
      <c r="J16" s="3">
        <v>290</v>
      </c>
      <c r="K16" s="3">
        <v>2650</v>
      </c>
      <c r="L16" s="3">
        <v>244166.66666666669</v>
      </c>
      <c r="M16" s="3">
        <v>62500000</v>
      </c>
      <c r="N16" s="3">
        <v>0</v>
      </c>
      <c r="O16" s="3">
        <v>0</v>
      </c>
      <c r="P16" s="3">
        <v>0</v>
      </c>
      <c r="Q16" s="3">
        <v>10709691.478391923</v>
      </c>
      <c r="R16" s="3">
        <v>0</v>
      </c>
      <c r="S16" s="3">
        <v>6214.8209950086257</v>
      </c>
      <c r="T16" s="3">
        <v>2555080366.5634608</v>
      </c>
      <c r="U16" s="3">
        <v>7657387.4255842008</v>
      </c>
      <c r="V16" s="3">
        <v>22800</v>
      </c>
      <c r="W16" s="3">
        <v>0</v>
      </c>
      <c r="X16" s="3">
        <v>0</v>
      </c>
      <c r="Y16" s="3">
        <v>25000</v>
      </c>
      <c r="Z16" s="3">
        <v>310</v>
      </c>
      <c r="AA16" s="3">
        <v>370</v>
      </c>
      <c r="AB16" s="3">
        <v>0</v>
      </c>
      <c r="AC16" s="3">
        <v>210</v>
      </c>
      <c r="AD16" s="3">
        <v>153000</v>
      </c>
      <c r="AE16" s="3">
        <v>225200</v>
      </c>
    </row>
    <row r="17" spans="1:31" x14ac:dyDescent="0.3">
      <c r="A17" s="2" t="s">
        <v>151</v>
      </c>
      <c r="B17" s="3">
        <v>5536363</v>
      </c>
      <c r="C17" s="3">
        <v>50000</v>
      </c>
      <c r="D17" s="3">
        <v>3794099718.0446382</v>
      </c>
      <c r="E17" s="3">
        <v>96000</v>
      </c>
      <c r="F17" s="3">
        <v>118918</v>
      </c>
      <c r="G17" s="3">
        <v>0</v>
      </c>
      <c r="H17" s="3">
        <v>40</v>
      </c>
      <c r="I17" s="3">
        <v>0</v>
      </c>
      <c r="J17" s="3">
        <v>0</v>
      </c>
      <c r="K17" s="3">
        <v>55000</v>
      </c>
      <c r="L17" s="3">
        <v>1095000</v>
      </c>
      <c r="M17" s="3">
        <v>0</v>
      </c>
      <c r="N17" s="3">
        <v>0</v>
      </c>
      <c r="O17" s="3">
        <v>0</v>
      </c>
      <c r="P17" s="3">
        <v>0</v>
      </c>
      <c r="Q17" s="3">
        <v>19029262.628510661</v>
      </c>
      <c r="R17" s="3">
        <v>455110161.54806763</v>
      </c>
      <c r="S17" s="3">
        <v>233436079.46481621</v>
      </c>
      <c r="T17" s="3">
        <v>69831993461.000778</v>
      </c>
      <c r="U17" s="3">
        <v>336964.70048003545</v>
      </c>
      <c r="V17" s="3">
        <v>16500</v>
      </c>
      <c r="W17" s="3">
        <v>50600000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1:31" x14ac:dyDescent="0.3">
      <c r="A18" s="2" t="s">
        <v>151</v>
      </c>
      <c r="B18" s="3">
        <v>91500000</v>
      </c>
      <c r="C18" s="3">
        <v>214285</v>
      </c>
      <c r="D18" s="3">
        <v>639854823.44835436</v>
      </c>
      <c r="E18" s="3">
        <v>44090</v>
      </c>
      <c r="F18" s="3">
        <v>9772727</v>
      </c>
      <c r="G18" s="3">
        <v>0</v>
      </c>
      <c r="H18" s="3">
        <v>0</v>
      </c>
      <c r="I18" s="3">
        <v>4104.545454545454</v>
      </c>
      <c r="J18" s="3">
        <v>0</v>
      </c>
      <c r="K18" s="3">
        <v>50000</v>
      </c>
      <c r="L18" s="3">
        <v>6900000</v>
      </c>
      <c r="M18" s="3">
        <v>0</v>
      </c>
      <c r="N18" s="3">
        <v>0</v>
      </c>
      <c r="O18" s="3">
        <v>0</v>
      </c>
      <c r="P18" s="3">
        <v>0</v>
      </c>
      <c r="Q18" s="3">
        <v>12030036.914479487</v>
      </c>
      <c r="R18" s="3">
        <v>0</v>
      </c>
      <c r="S18" s="3">
        <v>631101961.76488626</v>
      </c>
      <c r="T18" s="3">
        <v>7077814204.5099087</v>
      </c>
      <c r="U18" s="3">
        <v>87034.984671682454</v>
      </c>
      <c r="V18" s="3">
        <v>268000</v>
      </c>
      <c r="W18" s="3">
        <v>0</v>
      </c>
      <c r="X18" s="3">
        <v>33200000</v>
      </c>
      <c r="Y18" s="3">
        <v>0</v>
      </c>
      <c r="Z18" s="3">
        <v>0</v>
      </c>
      <c r="AA18" s="3">
        <v>0</v>
      </c>
      <c r="AB18" s="3">
        <v>0</v>
      </c>
      <c r="AC18" s="3">
        <v>59</v>
      </c>
      <c r="AD18" s="3">
        <v>0</v>
      </c>
      <c r="AE18" s="3">
        <v>604000</v>
      </c>
    </row>
    <row r="19" spans="1:31" x14ac:dyDescent="0.3">
      <c r="A19" s="2" t="s">
        <v>151</v>
      </c>
      <c r="B19" s="3">
        <v>17090909</v>
      </c>
      <c r="C19" s="3">
        <v>547619</v>
      </c>
      <c r="D19" s="3">
        <v>4311900582.4695997</v>
      </c>
      <c r="E19" s="3">
        <v>2509</v>
      </c>
      <c r="F19" s="3">
        <v>4250000</v>
      </c>
      <c r="G19" s="3">
        <v>0</v>
      </c>
      <c r="H19" s="3">
        <v>0</v>
      </c>
      <c r="I19" s="3">
        <v>0</v>
      </c>
      <c r="J19" s="3">
        <v>0</v>
      </c>
      <c r="K19" s="3">
        <v>47500</v>
      </c>
      <c r="L19" s="3">
        <v>133000</v>
      </c>
      <c r="M19" s="3">
        <v>0</v>
      </c>
      <c r="N19" s="3">
        <v>0</v>
      </c>
      <c r="O19" s="3">
        <v>0</v>
      </c>
      <c r="P19" s="3">
        <v>26239574.820295356</v>
      </c>
      <c r="Q19" s="3">
        <v>43217233.240818493</v>
      </c>
      <c r="R19" s="3">
        <v>0</v>
      </c>
      <c r="S19" s="3">
        <v>0</v>
      </c>
      <c r="T19" s="3">
        <v>3014776510.1392918</v>
      </c>
      <c r="U19" s="3">
        <v>3793735.8946271422</v>
      </c>
      <c r="V19" s="3">
        <v>44600</v>
      </c>
      <c r="W19" s="3">
        <v>0</v>
      </c>
      <c r="X19" s="3">
        <v>0</v>
      </c>
      <c r="Y19" s="3">
        <v>5000000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  <row r="20" spans="1:31" x14ac:dyDescent="0.3">
      <c r="A20" s="2" t="s">
        <v>151</v>
      </c>
      <c r="B20" s="3">
        <v>1049549</v>
      </c>
      <c r="C20" s="3">
        <v>38009</v>
      </c>
      <c r="D20" s="3">
        <v>166636879.82666141</v>
      </c>
      <c r="E20" s="3">
        <v>6818</v>
      </c>
      <c r="F20" s="3">
        <v>295454</v>
      </c>
      <c r="G20" s="3">
        <v>0</v>
      </c>
      <c r="H20" s="3">
        <v>0</v>
      </c>
      <c r="I20" s="3">
        <v>0</v>
      </c>
      <c r="J20" s="3">
        <v>54.54545454545454</v>
      </c>
      <c r="K20" s="3">
        <v>2000</v>
      </c>
      <c r="L20" s="3">
        <v>85454.545454545456</v>
      </c>
      <c r="M20" s="3">
        <v>0</v>
      </c>
      <c r="N20" s="3">
        <v>0</v>
      </c>
      <c r="O20" s="3">
        <v>0</v>
      </c>
      <c r="P20" s="3">
        <v>28318344.034422964</v>
      </c>
      <c r="Q20" s="3">
        <v>11350682.086453702</v>
      </c>
      <c r="R20" s="3">
        <v>0</v>
      </c>
      <c r="S20" s="3">
        <v>0</v>
      </c>
      <c r="T20" s="3">
        <v>17811368298.42672</v>
      </c>
      <c r="U20" s="3">
        <v>1733581.2991958582</v>
      </c>
      <c r="V20" s="3">
        <v>121000</v>
      </c>
      <c r="W20" s="3">
        <v>0</v>
      </c>
      <c r="X20" s="3">
        <v>0</v>
      </c>
      <c r="Y20" s="3">
        <v>4660000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1:31" x14ac:dyDescent="0.3">
      <c r="A21" s="2" t="s">
        <v>151</v>
      </c>
      <c r="B21" s="3">
        <v>33090909</v>
      </c>
      <c r="C21" s="3">
        <v>90000</v>
      </c>
      <c r="D21" s="3">
        <v>556500461.80930352</v>
      </c>
      <c r="E21" s="3">
        <v>51363</v>
      </c>
      <c r="F21" s="3">
        <v>283783</v>
      </c>
      <c r="G21" s="3">
        <v>0</v>
      </c>
      <c r="H21" s="3">
        <v>0</v>
      </c>
      <c r="I21" s="3">
        <v>1640.9090909090908</v>
      </c>
      <c r="J21" s="3">
        <v>0</v>
      </c>
      <c r="K21" s="3">
        <v>300000</v>
      </c>
      <c r="L21" s="3">
        <v>17450000</v>
      </c>
      <c r="M21" s="3">
        <v>0</v>
      </c>
      <c r="N21" s="3">
        <v>0</v>
      </c>
      <c r="O21" s="3">
        <v>0</v>
      </c>
      <c r="P21" s="3">
        <v>0</v>
      </c>
      <c r="Q21" s="3">
        <v>17496732.816444088</v>
      </c>
      <c r="R21" s="3">
        <v>0</v>
      </c>
      <c r="S21" s="3">
        <v>426976546.68555272</v>
      </c>
      <c r="T21" s="3">
        <v>2474330792.1692333</v>
      </c>
      <c r="U21" s="3">
        <v>822.41867683072473</v>
      </c>
      <c r="V21" s="3">
        <v>1720000</v>
      </c>
      <c r="W21" s="3">
        <v>0</v>
      </c>
      <c r="X21" s="3">
        <v>2260000</v>
      </c>
      <c r="Y21" s="3">
        <v>0</v>
      </c>
      <c r="Z21" s="3">
        <v>0</v>
      </c>
      <c r="AA21" s="3">
        <v>0</v>
      </c>
      <c r="AB21" s="3">
        <v>0</v>
      </c>
      <c r="AC21" s="3">
        <v>82</v>
      </c>
      <c r="AD21" s="3">
        <v>0</v>
      </c>
      <c r="AE21" s="3">
        <v>42800</v>
      </c>
    </row>
    <row r="22" spans="1:31" x14ac:dyDescent="0.3">
      <c r="A22" s="2" t="s">
        <v>151</v>
      </c>
      <c r="B22" s="3">
        <v>12272727</v>
      </c>
      <c r="C22" s="3">
        <v>365000</v>
      </c>
      <c r="D22" s="3">
        <v>1932336606.6270132</v>
      </c>
      <c r="E22" s="3">
        <v>13500</v>
      </c>
      <c r="F22" s="3">
        <v>1647619</v>
      </c>
      <c r="G22" s="3">
        <v>0</v>
      </c>
      <c r="H22" s="3">
        <v>72.72727272727272</v>
      </c>
      <c r="I22" s="3">
        <v>0</v>
      </c>
      <c r="J22" s="3">
        <v>0</v>
      </c>
      <c r="K22" s="3">
        <v>110000</v>
      </c>
      <c r="L22" s="3">
        <v>2425000</v>
      </c>
      <c r="M22" s="3">
        <v>0</v>
      </c>
      <c r="N22" s="3">
        <v>0</v>
      </c>
      <c r="O22" s="3">
        <v>0</v>
      </c>
      <c r="P22" s="3">
        <v>0</v>
      </c>
      <c r="Q22" s="3">
        <v>14229739.838809604</v>
      </c>
      <c r="R22" s="3">
        <v>58840302.837453343</v>
      </c>
      <c r="S22" s="3">
        <v>36555572.822539657</v>
      </c>
      <c r="T22" s="3">
        <v>11919535872.040548</v>
      </c>
      <c r="U22" s="3">
        <v>822215.97097405011</v>
      </c>
      <c r="V22" s="3">
        <v>6780000</v>
      </c>
      <c r="W22" s="3">
        <v>356000000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1:31" x14ac:dyDescent="0.3">
      <c r="A23" s="2" t="s">
        <v>151</v>
      </c>
      <c r="B23" s="3">
        <v>2787330</v>
      </c>
      <c r="C23" s="3">
        <v>81981</v>
      </c>
      <c r="D23" s="3">
        <v>102719469.65523528</v>
      </c>
      <c r="E23" s="3">
        <v>2181</v>
      </c>
      <c r="F23" s="3">
        <v>1218181</v>
      </c>
      <c r="G23" s="3">
        <v>5</v>
      </c>
      <c r="H23" s="3">
        <v>0</v>
      </c>
      <c r="I23" s="3">
        <v>0</v>
      </c>
      <c r="J23" s="3">
        <v>10</v>
      </c>
      <c r="K23" s="3">
        <v>6000</v>
      </c>
      <c r="L23" s="3">
        <v>200909.09090909091</v>
      </c>
      <c r="M23" s="3">
        <v>0</v>
      </c>
      <c r="N23" s="3">
        <v>0</v>
      </c>
      <c r="O23" s="3">
        <v>0</v>
      </c>
      <c r="P23" s="3">
        <v>27136382.986260898</v>
      </c>
      <c r="Q23" s="3">
        <v>104024816.88718921</v>
      </c>
      <c r="R23" s="3">
        <v>0</v>
      </c>
      <c r="S23" s="3">
        <v>0</v>
      </c>
      <c r="T23" s="3">
        <v>5105228025.8645411</v>
      </c>
      <c r="U23" s="3">
        <v>1584924.7826493217</v>
      </c>
      <c r="V23" s="3">
        <v>156000</v>
      </c>
      <c r="W23" s="3">
        <v>0</v>
      </c>
      <c r="X23" s="3">
        <v>0</v>
      </c>
      <c r="Y23" s="3">
        <v>770000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1:31" x14ac:dyDescent="0.3">
      <c r="A24" s="2" t="s">
        <v>146</v>
      </c>
      <c r="B24" s="3">
        <v>940909</v>
      </c>
      <c r="C24" s="3">
        <v>41818</v>
      </c>
      <c r="D24" s="3">
        <v>67191080.154871747</v>
      </c>
      <c r="E24" s="3">
        <v>19545</v>
      </c>
      <c r="F24" s="3">
        <v>100900</v>
      </c>
      <c r="G24" s="3">
        <v>0</v>
      </c>
      <c r="H24" s="3">
        <v>0</v>
      </c>
      <c r="I24" s="3">
        <v>85</v>
      </c>
      <c r="J24" s="3">
        <v>0</v>
      </c>
      <c r="K24" s="3">
        <v>6216.2162162162149</v>
      </c>
      <c r="L24" s="3">
        <v>46818.181818181816</v>
      </c>
      <c r="M24" s="3">
        <v>379619.89086155198</v>
      </c>
      <c r="N24" s="3">
        <v>0</v>
      </c>
      <c r="O24" s="3">
        <v>0</v>
      </c>
      <c r="P24" s="3">
        <v>0</v>
      </c>
      <c r="Q24" s="3">
        <v>53483763.531483635</v>
      </c>
      <c r="R24" s="3">
        <v>0</v>
      </c>
      <c r="S24" s="3">
        <v>0</v>
      </c>
      <c r="T24" s="3">
        <v>1633268658.29392</v>
      </c>
      <c r="U24" s="3">
        <v>4086309.1518535698</v>
      </c>
      <c r="V24" s="3">
        <v>314000</v>
      </c>
      <c r="W24" s="3">
        <v>0</v>
      </c>
      <c r="X24" s="3">
        <v>0</v>
      </c>
      <c r="Y24" s="3">
        <v>0</v>
      </c>
      <c r="Z24" s="3">
        <v>160</v>
      </c>
      <c r="AA24" s="3">
        <v>170</v>
      </c>
      <c r="AB24" s="3">
        <v>0</v>
      </c>
      <c r="AC24" s="3">
        <v>83</v>
      </c>
      <c r="AD24" s="3">
        <v>0</v>
      </c>
      <c r="AE24" s="3">
        <v>12800</v>
      </c>
    </row>
    <row r="25" spans="1:31" x14ac:dyDescent="0.3">
      <c r="A25" s="2" t="s">
        <v>151</v>
      </c>
      <c r="B25" s="3">
        <v>16954545</v>
      </c>
      <c r="C25" s="3">
        <v>35909</v>
      </c>
      <c r="D25" s="3">
        <v>720428396.3940233</v>
      </c>
      <c r="E25" s="3">
        <v>26363</v>
      </c>
      <c r="F25" s="3">
        <v>118918</v>
      </c>
      <c r="G25" s="3">
        <v>0</v>
      </c>
      <c r="H25" s="3">
        <v>23428.571428571428</v>
      </c>
      <c r="I25" s="3">
        <v>0</v>
      </c>
      <c r="J25" s="3">
        <v>0</v>
      </c>
      <c r="K25" s="3">
        <v>2500</v>
      </c>
      <c r="L25" s="3">
        <v>527272.72727272729</v>
      </c>
      <c r="M25" s="3">
        <v>78393.482915275701</v>
      </c>
      <c r="N25" s="3">
        <v>1590277.6669772801</v>
      </c>
      <c r="O25" s="3">
        <v>0</v>
      </c>
      <c r="P25" s="3">
        <v>0</v>
      </c>
      <c r="Q25" s="3">
        <v>165613966.96514523</v>
      </c>
      <c r="R25" s="3">
        <v>49224360.942606464</v>
      </c>
      <c r="S25" s="3">
        <v>24920117.113047443</v>
      </c>
      <c r="T25" s="3">
        <v>6373079469.9484587</v>
      </c>
      <c r="U25" s="3">
        <v>355607.22144298477</v>
      </c>
      <c r="V25" s="3">
        <v>964000</v>
      </c>
      <c r="W25" s="3">
        <v>42200000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1:31" x14ac:dyDescent="0.3">
      <c r="A26" s="2" t="s">
        <v>151</v>
      </c>
      <c r="B26" s="3">
        <v>12318181</v>
      </c>
      <c r="C26" s="3">
        <v>57272</v>
      </c>
      <c r="D26" s="3">
        <v>607729959.73051941</v>
      </c>
      <c r="E26" s="3">
        <v>36818</v>
      </c>
      <c r="F26" s="3">
        <v>29333333</v>
      </c>
      <c r="G26" s="3">
        <v>0</v>
      </c>
      <c r="H26" s="3">
        <v>0</v>
      </c>
      <c r="I26" s="3">
        <v>2349.9999999999995</v>
      </c>
      <c r="J26" s="3">
        <v>0</v>
      </c>
      <c r="K26" s="3">
        <v>5000</v>
      </c>
      <c r="L26" s="3">
        <v>8524999.9999999981</v>
      </c>
      <c r="M26" s="3">
        <v>0</v>
      </c>
      <c r="N26" s="3">
        <v>32673.296960301501</v>
      </c>
      <c r="O26" s="3">
        <v>271958.07596315403</v>
      </c>
      <c r="P26" s="3">
        <v>0</v>
      </c>
      <c r="Q26" s="3">
        <v>62049310.508699402</v>
      </c>
      <c r="R26" s="3">
        <v>0</v>
      </c>
      <c r="S26" s="3">
        <v>391322689.26667058</v>
      </c>
      <c r="T26" s="3">
        <v>3653354146.8294086</v>
      </c>
      <c r="U26" s="3">
        <v>15673.599428338086</v>
      </c>
      <c r="V26" s="3">
        <v>1230000</v>
      </c>
      <c r="W26" s="3">
        <v>0</v>
      </c>
      <c r="X26" s="3">
        <v>2620000</v>
      </c>
      <c r="Y26" s="3">
        <v>0</v>
      </c>
      <c r="Z26" s="3">
        <v>54</v>
      </c>
      <c r="AA26" s="3">
        <v>0</v>
      </c>
      <c r="AB26" s="3">
        <v>0</v>
      </c>
      <c r="AC26" s="3">
        <v>140</v>
      </c>
      <c r="AD26" s="3">
        <v>0</v>
      </c>
      <c r="AE26" s="3">
        <v>1600</v>
      </c>
    </row>
    <row r="27" spans="1:31" x14ac:dyDescent="0.3">
      <c r="A27" s="2" t="s">
        <v>151</v>
      </c>
      <c r="B27" s="3">
        <v>15630630</v>
      </c>
      <c r="C27" s="3">
        <v>81363</v>
      </c>
      <c r="D27" s="3">
        <v>74295440</v>
      </c>
      <c r="E27" s="3">
        <v>29090</v>
      </c>
      <c r="F27" s="3">
        <v>558558</v>
      </c>
      <c r="G27" s="3">
        <v>0</v>
      </c>
      <c r="H27" s="3">
        <v>10</v>
      </c>
      <c r="I27" s="3">
        <v>459.09090909090912</v>
      </c>
      <c r="J27" s="3">
        <v>0</v>
      </c>
      <c r="K27" s="3">
        <v>0</v>
      </c>
      <c r="L27" s="3">
        <v>2883333.333333333</v>
      </c>
      <c r="M27" s="3">
        <v>0</v>
      </c>
      <c r="N27" s="3">
        <v>0</v>
      </c>
      <c r="O27" s="3">
        <v>0</v>
      </c>
      <c r="P27" s="3">
        <v>0</v>
      </c>
      <c r="Q27" s="3">
        <v>102689717.70646071</v>
      </c>
      <c r="R27" s="3">
        <v>0</v>
      </c>
      <c r="S27" s="3">
        <v>202921356.13408461</v>
      </c>
      <c r="T27" s="3">
        <v>3112982814.5914626</v>
      </c>
      <c r="U27" s="3">
        <v>548418.72308111435</v>
      </c>
      <c r="V27" s="3">
        <v>710000</v>
      </c>
      <c r="W27" s="3">
        <v>0</v>
      </c>
      <c r="X27" s="3">
        <v>5980000</v>
      </c>
      <c r="Y27" s="3">
        <v>0</v>
      </c>
      <c r="Z27" s="3">
        <v>52</v>
      </c>
      <c r="AA27" s="3">
        <v>0</v>
      </c>
      <c r="AB27" s="3">
        <v>0</v>
      </c>
      <c r="AC27" s="3">
        <v>88</v>
      </c>
      <c r="AD27" s="3">
        <v>0</v>
      </c>
      <c r="AE27" s="3">
        <v>22000</v>
      </c>
    </row>
    <row r="28" spans="1:31" x14ac:dyDescent="0.3">
      <c r="A28" s="2" t="s">
        <v>146</v>
      </c>
      <c r="B28" s="3">
        <v>241803</v>
      </c>
      <c r="C28" s="3">
        <v>245000</v>
      </c>
      <c r="D28" s="3">
        <v>1397774322.0449517</v>
      </c>
      <c r="E28" s="3">
        <v>6416</v>
      </c>
      <c r="F28" s="3">
        <v>352380</v>
      </c>
      <c r="G28" s="3">
        <v>840</v>
      </c>
      <c r="H28" s="3">
        <v>0</v>
      </c>
      <c r="I28" s="3">
        <v>0</v>
      </c>
      <c r="J28" s="3">
        <v>0</v>
      </c>
      <c r="M28" s="3">
        <v>6027992.6216044417</v>
      </c>
      <c r="N28" s="3">
        <v>0</v>
      </c>
      <c r="O28" s="3">
        <v>0</v>
      </c>
      <c r="P28" s="3">
        <v>0</v>
      </c>
      <c r="Q28" s="3">
        <v>8672769.1982788108</v>
      </c>
      <c r="R28" s="3">
        <v>0</v>
      </c>
      <c r="S28" s="3">
        <v>0</v>
      </c>
      <c r="T28" s="3">
        <v>4795715046.5128498</v>
      </c>
      <c r="U28" s="3">
        <v>10617967.153386755</v>
      </c>
      <c r="V28" s="3">
        <v>41800</v>
      </c>
      <c r="W28" s="3">
        <v>0</v>
      </c>
      <c r="X28" s="3">
        <v>0</v>
      </c>
      <c r="Y28" s="3">
        <v>0</v>
      </c>
      <c r="AE28" s="3">
        <v>1032507.18231255</v>
      </c>
    </row>
    <row r="29" spans="1:31" x14ac:dyDescent="0.3">
      <c r="A29" s="2" t="s">
        <v>146</v>
      </c>
      <c r="B29" s="3">
        <v>368181</v>
      </c>
      <c r="C29" s="3">
        <v>590476</v>
      </c>
      <c r="D29" s="3">
        <v>468650281.24158233</v>
      </c>
      <c r="E29" s="3">
        <v>5285</v>
      </c>
      <c r="F29" s="3">
        <v>12380</v>
      </c>
      <c r="G29" s="3">
        <v>300</v>
      </c>
      <c r="H29" s="3">
        <v>0</v>
      </c>
      <c r="I29" s="3">
        <v>0</v>
      </c>
      <c r="J29" s="3">
        <v>0</v>
      </c>
      <c r="M29" s="3">
        <v>5992072.1044557989</v>
      </c>
      <c r="N29" s="3">
        <v>0</v>
      </c>
      <c r="O29" s="3">
        <v>0</v>
      </c>
      <c r="P29" s="3">
        <v>0</v>
      </c>
      <c r="Q29" s="3">
        <v>5066402.8658201797</v>
      </c>
      <c r="R29" s="3">
        <v>0</v>
      </c>
      <c r="S29" s="3">
        <v>0</v>
      </c>
      <c r="T29" s="3">
        <v>8844891629.1920967</v>
      </c>
      <c r="U29" s="3">
        <v>27424864.615658566</v>
      </c>
      <c r="V29" s="3">
        <v>149000</v>
      </c>
      <c r="W29" s="3">
        <v>0</v>
      </c>
      <c r="X29" s="3">
        <v>0</v>
      </c>
      <c r="Y29" s="3">
        <v>0</v>
      </c>
      <c r="AE29" s="3">
        <v>0</v>
      </c>
    </row>
    <row r="30" spans="1:31" x14ac:dyDescent="0.3">
      <c r="A30" s="2" t="s">
        <v>146</v>
      </c>
      <c r="B30" s="3">
        <v>125000</v>
      </c>
      <c r="C30" s="3">
        <v>46000</v>
      </c>
      <c r="D30" s="3">
        <v>507308077.41039062</v>
      </c>
      <c r="E30" s="3">
        <v>4290</v>
      </c>
      <c r="F30" s="3">
        <v>58600</v>
      </c>
      <c r="G30" s="3">
        <v>213.63636363636365</v>
      </c>
      <c r="H30" s="3">
        <v>0</v>
      </c>
      <c r="I30" s="3">
        <v>0</v>
      </c>
      <c r="J30" s="3">
        <v>10</v>
      </c>
      <c r="K30" s="3">
        <v>1150000</v>
      </c>
      <c r="L30" s="3">
        <v>1600000</v>
      </c>
      <c r="M30" s="3">
        <v>12050000</v>
      </c>
      <c r="N30" s="3">
        <v>0</v>
      </c>
      <c r="O30" s="3">
        <v>0</v>
      </c>
      <c r="P30" s="3">
        <v>0</v>
      </c>
      <c r="Q30" s="3">
        <v>24322709.901823178</v>
      </c>
      <c r="R30" s="3">
        <v>366.60605559646717</v>
      </c>
      <c r="S30" s="3">
        <v>0</v>
      </c>
      <c r="T30" s="3">
        <v>1808688414.0010052</v>
      </c>
      <c r="U30" s="3">
        <v>19071352.553954419</v>
      </c>
      <c r="V30" s="3">
        <v>420000</v>
      </c>
      <c r="W30" s="3">
        <v>0</v>
      </c>
      <c r="X30" s="3">
        <v>0</v>
      </c>
      <c r="Y30" s="3">
        <v>20600</v>
      </c>
      <c r="Z30" s="3">
        <v>89</v>
      </c>
      <c r="AA30" s="3">
        <v>340</v>
      </c>
      <c r="AB30" s="3">
        <v>0</v>
      </c>
      <c r="AC30" s="3">
        <v>170</v>
      </c>
      <c r="AD30" s="3">
        <v>36800</v>
      </c>
      <c r="AE30" s="3">
        <v>73600</v>
      </c>
    </row>
    <row r="31" spans="1:31" x14ac:dyDescent="0.3">
      <c r="A31" s="2" t="s">
        <v>146</v>
      </c>
      <c r="B31" s="3">
        <v>249000</v>
      </c>
      <c r="C31" s="3">
        <v>189000</v>
      </c>
      <c r="D31" s="3">
        <v>2270773468.3897295</v>
      </c>
      <c r="E31" s="3">
        <v>9650</v>
      </c>
      <c r="F31" s="3">
        <v>500000</v>
      </c>
      <c r="G31" s="3">
        <v>1854.5454545454545</v>
      </c>
      <c r="H31" s="3">
        <v>0</v>
      </c>
      <c r="I31" s="3">
        <v>10</v>
      </c>
      <c r="J31" s="3">
        <v>280</v>
      </c>
      <c r="K31" s="3">
        <v>4910000</v>
      </c>
      <c r="L31" s="3">
        <v>8550000</v>
      </c>
      <c r="M31" s="3">
        <v>17300000</v>
      </c>
      <c r="N31" s="3">
        <v>0</v>
      </c>
      <c r="O31" s="3">
        <v>0</v>
      </c>
      <c r="P31" s="3">
        <v>0</v>
      </c>
      <c r="Q31" s="3">
        <v>44348298.29223308</v>
      </c>
      <c r="R31" s="3">
        <v>0</v>
      </c>
      <c r="S31" s="3">
        <v>7436.1280247182403</v>
      </c>
      <c r="T31" s="3">
        <v>5253157656.3434629</v>
      </c>
      <c r="U31" s="3">
        <v>61724384.250219226</v>
      </c>
      <c r="V31" s="3">
        <v>476000</v>
      </c>
      <c r="W31" s="3">
        <v>0</v>
      </c>
      <c r="X31" s="3">
        <v>131000</v>
      </c>
      <c r="Y31" s="3">
        <v>108000</v>
      </c>
      <c r="Z31" s="3">
        <v>250</v>
      </c>
      <c r="AA31" s="3">
        <v>960</v>
      </c>
      <c r="AB31" s="3">
        <v>0</v>
      </c>
      <c r="AC31" s="3">
        <v>450</v>
      </c>
      <c r="AD31" s="3">
        <v>231000</v>
      </c>
      <c r="AE31" s="3">
        <v>120000</v>
      </c>
    </row>
    <row r="32" spans="1:31" x14ac:dyDescent="0.3">
      <c r="A32" s="2" t="s">
        <v>151</v>
      </c>
      <c r="B32" s="3">
        <v>9360</v>
      </c>
      <c r="C32" s="3">
        <v>291</v>
      </c>
      <c r="D32" s="3">
        <v>42722345.166538015</v>
      </c>
      <c r="E32" s="3">
        <v>118</v>
      </c>
      <c r="F32" s="3">
        <v>709</v>
      </c>
      <c r="G32" s="3">
        <v>0</v>
      </c>
      <c r="H32" s="3">
        <v>0</v>
      </c>
      <c r="I32" s="3">
        <v>0</v>
      </c>
      <c r="J32" s="3">
        <v>0</v>
      </c>
      <c r="K32" s="3">
        <v>2820</v>
      </c>
      <c r="L32" s="3">
        <v>564000</v>
      </c>
      <c r="M32" s="3">
        <v>0</v>
      </c>
      <c r="N32" s="3">
        <v>0</v>
      </c>
      <c r="O32" s="3">
        <v>0</v>
      </c>
      <c r="P32" s="3">
        <v>0</v>
      </c>
      <c r="Q32" s="3">
        <v>20168191.667486846</v>
      </c>
      <c r="R32" s="3">
        <v>168442454.97621077</v>
      </c>
      <c r="S32" s="3">
        <v>0</v>
      </c>
      <c r="T32" s="3">
        <v>5243269178.0351543</v>
      </c>
      <c r="U32" s="3">
        <v>0</v>
      </c>
      <c r="V32" s="3">
        <v>534000</v>
      </c>
      <c r="W32" s="3">
        <v>384000</v>
      </c>
      <c r="X32" s="3">
        <v>0</v>
      </c>
      <c r="Y32" s="3">
        <v>0</v>
      </c>
      <c r="Z32" s="3">
        <v>240</v>
      </c>
      <c r="AA32" s="3">
        <v>910</v>
      </c>
      <c r="AB32" s="3">
        <v>0</v>
      </c>
      <c r="AC32" s="3">
        <v>340</v>
      </c>
      <c r="AD32" s="3">
        <v>0</v>
      </c>
      <c r="AE32" s="3">
        <v>0</v>
      </c>
    </row>
    <row r="33" spans="1:31" x14ac:dyDescent="0.3">
      <c r="A33" s="2" t="s">
        <v>151</v>
      </c>
      <c r="B33" s="3">
        <v>5180000</v>
      </c>
      <c r="C33" s="3">
        <v>1260000</v>
      </c>
      <c r="D33" s="3">
        <v>233990612.06568393</v>
      </c>
      <c r="E33" s="3">
        <v>4180</v>
      </c>
      <c r="F33" s="3">
        <v>207000</v>
      </c>
      <c r="G33" s="3">
        <v>0</v>
      </c>
      <c r="H33" s="3">
        <v>0</v>
      </c>
      <c r="I33" s="3">
        <v>0</v>
      </c>
      <c r="J33" s="3">
        <v>0</v>
      </c>
      <c r="K33" s="3">
        <v>3000000</v>
      </c>
      <c r="L33" s="3">
        <v>7550000</v>
      </c>
      <c r="M33" s="3">
        <v>0</v>
      </c>
      <c r="N33" s="3">
        <v>0</v>
      </c>
      <c r="O33" s="3">
        <v>0</v>
      </c>
      <c r="P33" s="3">
        <v>109937.50582536204</v>
      </c>
      <c r="Q33" s="3">
        <v>4933747.9617458405</v>
      </c>
      <c r="R33" s="3">
        <v>0</v>
      </c>
      <c r="S33" s="3">
        <v>8979.9777282574596</v>
      </c>
      <c r="T33" s="3">
        <v>54100361.564073667</v>
      </c>
      <c r="U33" s="3">
        <v>0</v>
      </c>
      <c r="V33" s="3">
        <v>0</v>
      </c>
      <c r="W33" s="3">
        <v>0</v>
      </c>
      <c r="X33" s="3">
        <v>0</v>
      </c>
      <c r="Y33" s="3">
        <v>29600000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1:31" x14ac:dyDescent="0.3">
      <c r="A34" s="2" t="s">
        <v>146</v>
      </c>
      <c r="B34" s="3">
        <v>486000</v>
      </c>
      <c r="C34" s="3">
        <v>226000</v>
      </c>
      <c r="D34" s="3">
        <v>467141721.03652483</v>
      </c>
      <c r="E34" s="3">
        <v>10800</v>
      </c>
      <c r="F34" s="3">
        <v>141000</v>
      </c>
      <c r="G34" s="3">
        <v>0</v>
      </c>
      <c r="H34" s="3">
        <v>0</v>
      </c>
      <c r="I34" s="3">
        <v>0</v>
      </c>
      <c r="J34" s="3">
        <v>0</v>
      </c>
      <c r="K34" s="3">
        <v>4050000</v>
      </c>
      <c r="L34" s="3">
        <v>7030000</v>
      </c>
      <c r="M34" s="3">
        <v>21350000</v>
      </c>
      <c r="N34" s="3">
        <v>0</v>
      </c>
      <c r="O34" s="3">
        <v>0</v>
      </c>
      <c r="P34" s="3">
        <v>0</v>
      </c>
      <c r="Q34" s="3">
        <v>61252943.006175727</v>
      </c>
      <c r="R34" s="3">
        <v>0</v>
      </c>
      <c r="S34" s="3">
        <v>0</v>
      </c>
      <c r="T34" s="3">
        <v>5935169611.4400635</v>
      </c>
      <c r="U34" s="3">
        <v>49903885.940345965</v>
      </c>
      <c r="V34" s="3">
        <v>588000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237200</v>
      </c>
    </row>
    <row r="35" spans="1:31" x14ac:dyDescent="0.3">
      <c r="A35" s="2" t="s">
        <v>151</v>
      </c>
      <c r="B35" s="3">
        <v>38200</v>
      </c>
      <c r="C35" s="3">
        <v>7400</v>
      </c>
      <c r="D35" s="3">
        <v>44345581.61464116</v>
      </c>
      <c r="E35" s="3">
        <v>155</v>
      </c>
      <c r="F35" s="3">
        <v>27</v>
      </c>
      <c r="G35" s="3">
        <v>0</v>
      </c>
      <c r="H35" s="3">
        <v>0</v>
      </c>
      <c r="I35" s="3">
        <v>0</v>
      </c>
      <c r="J35" s="3">
        <v>0</v>
      </c>
      <c r="K35" s="3">
        <v>10500</v>
      </c>
      <c r="L35" s="3">
        <v>13800</v>
      </c>
      <c r="M35" s="3">
        <v>0</v>
      </c>
      <c r="N35" s="3">
        <v>0</v>
      </c>
      <c r="O35" s="3">
        <v>0</v>
      </c>
      <c r="P35" s="3">
        <v>0</v>
      </c>
      <c r="Q35" s="3">
        <v>21934713.183826637</v>
      </c>
      <c r="R35" s="3">
        <v>347569992.32127964</v>
      </c>
      <c r="S35" s="3">
        <v>0</v>
      </c>
      <c r="T35" s="3">
        <v>5850967600</v>
      </c>
      <c r="U35" s="3">
        <v>0</v>
      </c>
      <c r="V35" s="3">
        <v>402000</v>
      </c>
      <c r="W35" s="3">
        <v>5900000</v>
      </c>
      <c r="X35" s="3">
        <v>30400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6" spans="1:31" x14ac:dyDescent="0.3">
      <c r="A36" s="2" t="s">
        <v>151</v>
      </c>
      <c r="B36" s="3">
        <v>255000</v>
      </c>
      <c r="C36" s="3">
        <v>8800</v>
      </c>
      <c r="D36" s="3">
        <v>129563854.3992143</v>
      </c>
      <c r="E36" s="3">
        <v>1910</v>
      </c>
      <c r="F36" s="3">
        <v>32700</v>
      </c>
      <c r="G36" s="3">
        <v>0</v>
      </c>
      <c r="H36" s="3">
        <v>0</v>
      </c>
      <c r="I36" s="3">
        <v>0</v>
      </c>
      <c r="J36" s="3">
        <v>0</v>
      </c>
      <c r="K36" s="3">
        <v>47300</v>
      </c>
      <c r="L36" s="3">
        <v>473000</v>
      </c>
      <c r="M36" s="3">
        <v>0</v>
      </c>
      <c r="N36" s="3">
        <v>10150000</v>
      </c>
      <c r="O36" s="3">
        <v>0</v>
      </c>
      <c r="P36" s="3">
        <v>0</v>
      </c>
      <c r="Q36" s="3">
        <v>26113612.780120824</v>
      </c>
      <c r="R36" s="3">
        <v>0</v>
      </c>
      <c r="S36" s="3">
        <v>453828457.24036658</v>
      </c>
      <c r="T36" s="3">
        <v>8854387719.2714615</v>
      </c>
      <c r="U36" s="3">
        <v>0</v>
      </c>
      <c r="V36" s="3">
        <v>0</v>
      </c>
      <c r="W36" s="3">
        <v>0</v>
      </c>
      <c r="X36" s="3">
        <v>1150000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</row>
    <row r="37" spans="1:31" x14ac:dyDescent="0.3">
      <c r="A37" s="2" t="s">
        <v>151</v>
      </c>
      <c r="B37" s="3">
        <v>1910000</v>
      </c>
      <c r="C37" s="3">
        <v>330000</v>
      </c>
      <c r="D37" s="3">
        <v>25141313.664325498</v>
      </c>
      <c r="E37" s="3">
        <v>70</v>
      </c>
      <c r="F37" s="3">
        <v>4360</v>
      </c>
      <c r="G37" s="3">
        <v>0</v>
      </c>
      <c r="H37" s="3">
        <v>0</v>
      </c>
      <c r="I37" s="3">
        <v>0</v>
      </c>
      <c r="J37" s="3">
        <v>0</v>
      </c>
      <c r="K37" s="3">
        <v>11200000</v>
      </c>
      <c r="L37" s="3">
        <v>12300000</v>
      </c>
      <c r="M37" s="3">
        <v>0</v>
      </c>
      <c r="N37" s="3">
        <v>0</v>
      </c>
      <c r="O37" s="3">
        <v>0</v>
      </c>
      <c r="P37" s="3">
        <v>0</v>
      </c>
      <c r="Q37" s="3">
        <v>15778908.580987513</v>
      </c>
      <c r="R37" s="3">
        <v>0</v>
      </c>
      <c r="S37" s="3">
        <v>0</v>
      </c>
      <c r="T37" s="3">
        <v>24943474.398054495</v>
      </c>
      <c r="U37" s="3">
        <v>0</v>
      </c>
      <c r="V37" s="3">
        <v>0</v>
      </c>
      <c r="W37" s="3">
        <v>0</v>
      </c>
      <c r="X37" s="3">
        <v>0</v>
      </c>
      <c r="Y37" s="3">
        <v>1000000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</row>
    <row r="38" spans="1:31" x14ac:dyDescent="0.3">
      <c r="A38" s="2" t="s">
        <v>146</v>
      </c>
      <c r="B38" s="3">
        <v>203000</v>
      </c>
      <c r="C38" s="3">
        <v>84500</v>
      </c>
      <c r="D38" s="3">
        <v>1150929118.015892</v>
      </c>
      <c r="E38" s="3">
        <v>7840</v>
      </c>
      <c r="F38" s="3">
        <v>636000</v>
      </c>
      <c r="G38" s="3">
        <v>3450</v>
      </c>
      <c r="H38" s="3">
        <v>0</v>
      </c>
      <c r="I38" s="3">
        <v>100</v>
      </c>
      <c r="J38" s="3">
        <v>220</v>
      </c>
      <c r="K38" s="3">
        <v>4450000</v>
      </c>
      <c r="L38" s="3">
        <v>5770000</v>
      </c>
      <c r="M38" s="3">
        <v>20500000</v>
      </c>
      <c r="N38" s="3">
        <v>0</v>
      </c>
      <c r="O38" s="3">
        <v>0</v>
      </c>
      <c r="P38" s="3">
        <v>0</v>
      </c>
      <c r="Q38" s="3">
        <v>16191868.197027106</v>
      </c>
      <c r="R38" s="3">
        <v>0</v>
      </c>
      <c r="S38" s="3">
        <v>0</v>
      </c>
      <c r="T38" s="3">
        <v>2341681054.6921201</v>
      </c>
      <c r="U38" s="3">
        <v>23977415.117895924</v>
      </c>
      <c r="V38" s="3">
        <v>748000</v>
      </c>
      <c r="W38" s="3">
        <v>0</v>
      </c>
      <c r="X38" s="3">
        <v>0</v>
      </c>
      <c r="Y38" s="3">
        <v>0</v>
      </c>
      <c r="Z38" s="3">
        <v>180</v>
      </c>
      <c r="AA38" s="3">
        <v>400</v>
      </c>
      <c r="AB38" s="3">
        <v>0</v>
      </c>
      <c r="AC38" s="3">
        <v>160</v>
      </c>
      <c r="AD38" s="3">
        <v>67500</v>
      </c>
      <c r="AE38" s="3">
        <v>43200</v>
      </c>
    </row>
    <row r="39" spans="1:31" x14ac:dyDescent="0.3">
      <c r="A39" s="2" t="s">
        <v>146</v>
      </c>
      <c r="B39" s="3">
        <v>491000</v>
      </c>
      <c r="C39" s="3">
        <v>135000</v>
      </c>
      <c r="D39" s="3">
        <v>2237085414.5401874</v>
      </c>
      <c r="E39" s="3">
        <v>6560</v>
      </c>
      <c r="F39" s="3">
        <v>131000</v>
      </c>
      <c r="G39" s="3">
        <v>7659.090909090909</v>
      </c>
      <c r="H39" s="3">
        <v>0</v>
      </c>
      <c r="I39" s="3">
        <v>5</v>
      </c>
      <c r="J39" s="3">
        <v>145</v>
      </c>
      <c r="K39" s="3">
        <v>2180000</v>
      </c>
      <c r="L39" s="3">
        <v>3910000</v>
      </c>
      <c r="M39" s="3">
        <v>8650000</v>
      </c>
      <c r="N39" s="3">
        <v>0</v>
      </c>
      <c r="O39" s="3">
        <v>0</v>
      </c>
      <c r="P39" s="3">
        <v>0</v>
      </c>
      <c r="Q39" s="3">
        <v>92011468.055654109</v>
      </c>
      <c r="R39" s="3">
        <v>0</v>
      </c>
      <c r="S39" s="3">
        <v>13623.039308465641</v>
      </c>
      <c r="T39" s="3">
        <v>1913209451.2543974</v>
      </c>
      <c r="U39" s="3">
        <v>37454404.39176783</v>
      </c>
      <c r="V39" s="3">
        <v>894000</v>
      </c>
      <c r="W39" s="3">
        <v>0</v>
      </c>
      <c r="X39" s="3">
        <v>22200</v>
      </c>
      <c r="Y39" s="3">
        <v>19200</v>
      </c>
      <c r="Z39" s="3">
        <v>260</v>
      </c>
      <c r="AA39" s="3">
        <v>770</v>
      </c>
      <c r="AB39" s="3">
        <v>0</v>
      </c>
      <c r="AC39" s="3">
        <v>330</v>
      </c>
      <c r="AD39" s="3">
        <v>71300</v>
      </c>
      <c r="AE39" s="3">
        <v>61200</v>
      </c>
    </row>
    <row r="40" spans="1:31" x14ac:dyDescent="0.3">
      <c r="A40" s="2" t="s">
        <v>151</v>
      </c>
      <c r="B40" s="3">
        <v>290000</v>
      </c>
      <c r="C40" s="3">
        <v>29000</v>
      </c>
      <c r="D40" s="3">
        <v>1628625.854148214</v>
      </c>
      <c r="E40" s="3">
        <v>10</v>
      </c>
      <c r="F40" s="3">
        <v>315000</v>
      </c>
      <c r="G40" s="3">
        <v>0</v>
      </c>
      <c r="H40" s="3">
        <v>0</v>
      </c>
      <c r="I40" s="3">
        <v>0</v>
      </c>
      <c r="J40" s="3">
        <v>0</v>
      </c>
      <c r="K40" s="3">
        <v>327000</v>
      </c>
      <c r="L40" s="3">
        <v>11100000</v>
      </c>
      <c r="M40" s="3">
        <v>0</v>
      </c>
      <c r="N40" s="3">
        <v>0</v>
      </c>
      <c r="O40" s="3">
        <v>0</v>
      </c>
      <c r="P40" s="3">
        <v>0</v>
      </c>
      <c r="Q40" s="3">
        <v>23247537.663386051</v>
      </c>
      <c r="R40" s="3">
        <v>0</v>
      </c>
      <c r="S40" s="3">
        <v>0</v>
      </c>
      <c r="T40" s="3">
        <v>6548774252.5001125</v>
      </c>
      <c r="U40" s="3">
        <v>0</v>
      </c>
      <c r="V40" s="3">
        <v>784000</v>
      </c>
      <c r="W40" s="3">
        <v>0</v>
      </c>
      <c r="X40" s="3">
        <v>17300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</row>
    <row r="41" spans="1:31" x14ac:dyDescent="0.3">
      <c r="A41" s="2" t="s">
        <v>151</v>
      </c>
      <c r="B41" s="3">
        <v>9090000</v>
      </c>
      <c r="C41" s="3">
        <v>8100</v>
      </c>
      <c r="D41" s="3">
        <v>34514780.444070622</v>
      </c>
      <c r="E41" s="3">
        <v>10</v>
      </c>
      <c r="F41" s="3">
        <v>5640</v>
      </c>
      <c r="G41" s="3">
        <v>0</v>
      </c>
      <c r="H41" s="3">
        <v>0</v>
      </c>
      <c r="I41" s="3">
        <v>0</v>
      </c>
      <c r="J41" s="3">
        <v>0</v>
      </c>
      <c r="K41" s="3">
        <v>54500</v>
      </c>
      <c r="L41" s="3">
        <v>1650000</v>
      </c>
      <c r="M41" s="3">
        <v>54500000</v>
      </c>
      <c r="N41" s="3">
        <v>0</v>
      </c>
      <c r="O41" s="3">
        <v>0</v>
      </c>
      <c r="P41" s="3">
        <v>0</v>
      </c>
      <c r="Q41" s="3">
        <v>322115749.71475077</v>
      </c>
      <c r="R41" s="3">
        <v>548896190.93953335</v>
      </c>
      <c r="S41" s="3">
        <v>0</v>
      </c>
      <c r="T41" s="3">
        <v>5580049966.6704664</v>
      </c>
      <c r="U41" s="3">
        <v>0</v>
      </c>
      <c r="V41" s="3">
        <v>450000</v>
      </c>
      <c r="W41" s="3">
        <v>9120000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1:31" x14ac:dyDescent="0.3">
      <c r="A42" s="2" t="s">
        <v>151</v>
      </c>
      <c r="B42" s="3">
        <v>4000000</v>
      </c>
      <c r="C42" s="3">
        <v>2430000</v>
      </c>
      <c r="D42" s="3">
        <v>13283357.802694317</v>
      </c>
      <c r="E42" s="3">
        <v>10</v>
      </c>
      <c r="F42" s="3">
        <v>564000</v>
      </c>
      <c r="G42" s="3">
        <v>0</v>
      </c>
      <c r="H42" s="3">
        <v>0</v>
      </c>
      <c r="I42" s="3">
        <v>0</v>
      </c>
      <c r="J42" s="3">
        <v>0</v>
      </c>
      <c r="K42" s="3">
        <v>3690000</v>
      </c>
      <c r="L42" s="3">
        <v>3690000</v>
      </c>
      <c r="M42" s="3">
        <v>2095289.1301662601</v>
      </c>
      <c r="N42" s="3">
        <v>0</v>
      </c>
      <c r="O42" s="3">
        <v>1760000</v>
      </c>
      <c r="P42" s="3">
        <v>0</v>
      </c>
      <c r="Q42" s="3">
        <v>35835375.534120768</v>
      </c>
      <c r="R42" s="3">
        <v>0</v>
      </c>
      <c r="S42" s="3">
        <v>1172806034.1142724</v>
      </c>
      <c r="T42" s="3">
        <v>19947197915.15398</v>
      </c>
      <c r="U42" s="3">
        <v>0</v>
      </c>
      <c r="V42" s="3">
        <v>0</v>
      </c>
      <c r="W42" s="3">
        <v>0</v>
      </c>
      <c r="X42" s="3">
        <v>1020000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1:31" x14ac:dyDescent="0.3">
      <c r="A43" s="2" t="s">
        <v>146</v>
      </c>
      <c r="B43" s="3">
        <v>198000</v>
      </c>
      <c r="C43" s="3">
        <v>46000</v>
      </c>
      <c r="D43" s="3">
        <v>670421546.65162718</v>
      </c>
      <c r="E43" s="3">
        <v>2620</v>
      </c>
      <c r="F43" s="3">
        <v>245000</v>
      </c>
      <c r="G43" s="3">
        <v>440.90909090909088</v>
      </c>
      <c r="H43" s="3">
        <v>0</v>
      </c>
      <c r="I43" s="3">
        <v>0</v>
      </c>
      <c r="J43" s="3">
        <v>0</v>
      </c>
      <c r="K43" s="3">
        <v>360000</v>
      </c>
      <c r="L43" s="3">
        <v>1570000</v>
      </c>
      <c r="M43" s="3">
        <v>1268851.9749404001</v>
      </c>
      <c r="N43" s="3">
        <v>0</v>
      </c>
      <c r="O43" s="3">
        <v>0</v>
      </c>
      <c r="P43" s="3">
        <v>0</v>
      </c>
      <c r="Q43" s="3">
        <v>44924883.543795675</v>
      </c>
      <c r="R43" s="3">
        <v>0</v>
      </c>
      <c r="S43" s="3">
        <v>0</v>
      </c>
      <c r="T43" s="3">
        <v>1330745212.2237892</v>
      </c>
      <c r="U43" s="3">
        <v>24681204.831024636</v>
      </c>
      <c r="V43" s="3">
        <v>1690000</v>
      </c>
      <c r="W43" s="3">
        <v>0</v>
      </c>
      <c r="X43" s="3">
        <v>0</v>
      </c>
      <c r="Y43" s="3">
        <v>0</v>
      </c>
      <c r="Z43" s="3">
        <v>140</v>
      </c>
      <c r="AA43" s="3">
        <v>540</v>
      </c>
      <c r="AB43" s="3">
        <v>0</v>
      </c>
      <c r="AC43" s="3">
        <v>210</v>
      </c>
      <c r="AD43" s="3">
        <v>19700</v>
      </c>
      <c r="AE43" s="3">
        <v>11200</v>
      </c>
    </row>
    <row r="44" spans="1:31" x14ac:dyDescent="0.3">
      <c r="A44" s="2" t="s">
        <v>146</v>
      </c>
      <c r="B44" s="3">
        <v>327000</v>
      </c>
      <c r="C44" s="3">
        <v>92700</v>
      </c>
      <c r="D44" s="3">
        <v>537771501.40739739</v>
      </c>
      <c r="E44" s="3">
        <v>7570</v>
      </c>
      <c r="F44" s="3">
        <v>418000</v>
      </c>
      <c r="G44" s="3">
        <v>2472.7272727272725</v>
      </c>
      <c r="H44" s="3">
        <v>0</v>
      </c>
      <c r="I44" s="3">
        <v>0</v>
      </c>
      <c r="J44" s="3">
        <v>5</v>
      </c>
      <c r="K44" s="3">
        <v>2820000</v>
      </c>
      <c r="L44" s="3">
        <v>4640000</v>
      </c>
      <c r="M44" s="3">
        <v>1129533.0945774601</v>
      </c>
      <c r="N44" s="3">
        <v>0</v>
      </c>
      <c r="O44" s="3">
        <v>0</v>
      </c>
      <c r="P44" s="3">
        <v>0</v>
      </c>
      <c r="Q44" s="3">
        <v>173273425.0185807</v>
      </c>
      <c r="R44" s="3">
        <v>0</v>
      </c>
      <c r="S44" s="3">
        <v>0</v>
      </c>
      <c r="T44" s="3">
        <v>3215549866.1815114</v>
      </c>
      <c r="U44" s="3">
        <v>24771886.621434502</v>
      </c>
      <c r="V44" s="3">
        <v>176000</v>
      </c>
      <c r="W44" s="3">
        <v>0</v>
      </c>
      <c r="X44" s="3">
        <v>0</v>
      </c>
      <c r="Y44" s="3">
        <v>0</v>
      </c>
      <c r="Z44" s="3">
        <v>260</v>
      </c>
      <c r="AA44" s="3">
        <v>520</v>
      </c>
      <c r="AB44" s="3">
        <v>0</v>
      </c>
      <c r="AC44" s="3">
        <v>290</v>
      </c>
      <c r="AD44" s="3">
        <v>787000</v>
      </c>
      <c r="AE44" s="3">
        <v>25200</v>
      </c>
    </row>
    <row r="45" spans="1:31" x14ac:dyDescent="0.3">
      <c r="A45" s="2" t="s">
        <v>151</v>
      </c>
      <c r="B45" s="3">
        <v>1520000</v>
      </c>
      <c r="C45" s="3">
        <v>29000</v>
      </c>
      <c r="D45" s="3">
        <v>1074518.1614100342</v>
      </c>
      <c r="E45" s="3">
        <v>3450</v>
      </c>
      <c r="F45" s="3">
        <v>10</v>
      </c>
      <c r="G45" s="3">
        <v>0</v>
      </c>
      <c r="H45" s="3">
        <v>0</v>
      </c>
      <c r="I45" s="3">
        <v>0</v>
      </c>
      <c r="J45" s="3">
        <v>0</v>
      </c>
      <c r="K45" s="3">
        <v>236000</v>
      </c>
      <c r="L45" s="3">
        <v>423000</v>
      </c>
      <c r="M45" s="3">
        <v>1278109.1971108699</v>
      </c>
      <c r="N45" s="3">
        <v>0</v>
      </c>
      <c r="O45" s="3">
        <v>0</v>
      </c>
      <c r="P45" s="3">
        <v>0</v>
      </c>
      <c r="Q45" s="3">
        <v>93207736.176381797</v>
      </c>
      <c r="R45" s="3">
        <v>0</v>
      </c>
      <c r="S45" s="3">
        <v>219791352.83544528</v>
      </c>
      <c r="T45" s="3">
        <v>1756293450.5785255</v>
      </c>
      <c r="U45" s="3">
        <v>0</v>
      </c>
      <c r="V45" s="3">
        <v>0</v>
      </c>
      <c r="W45" s="3">
        <v>0</v>
      </c>
      <c r="X45" s="3">
        <v>1090000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1:31" x14ac:dyDescent="0.3">
      <c r="A46" s="2" t="s">
        <v>151</v>
      </c>
      <c r="B46" s="3">
        <v>3180000</v>
      </c>
      <c r="C46" s="3">
        <v>8380</v>
      </c>
      <c r="D46" s="3">
        <v>36392527.86625848</v>
      </c>
      <c r="E46" s="3">
        <v>10</v>
      </c>
      <c r="F46" s="3">
        <v>2270</v>
      </c>
      <c r="G46" s="3">
        <v>0</v>
      </c>
      <c r="H46" s="3">
        <v>0</v>
      </c>
      <c r="I46" s="3">
        <v>0</v>
      </c>
      <c r="J46" s="3">
        <v>0</v>
      </c>
      <c r="K46" s="3">
        <v>273000</v>
      </c>
      <c r="L46" s="3">
        <v>1080000</v>
      </c>
      <c r="M46" s="3">
        <v>0</v>
      </c>
      <c r="N46" s="3">
        <v>0</v>
      </c>
      <c r="O46" s="3">
        <v>0</v>
      </c>
      <c r="P46" s="3">
        <v>0</v>
      </c>
      <c r="Q46" s="3">
        <v>69699066.256363705</v>
      </c>
      <c r="R46" s="3">
        <v>0</v>
      </c>
      <c r="S46" s="3">
        <v>0</v>
      </c>
      <c r="T46" s="3">
        <v>4295704365.525671</v>
      </c>
      <c r="U46" s="3">
        <v>279.07619031368478</v>
      </c>
      <c r="V46" s="3">
        <v>29800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1:31" x14ac:dyDescent="0.3">
      <c r="A47" s="2" t="s">
        <v>146</v>
      </c>
      <c r="B47" s="3">
        <v>315000</v>
      </c>
      <c r="C47" s="3">
        <v>186000</v>
      </c>
      <c r="D47" s="3">
        <v>17174456.295603655</v>
      </c>
      <c r="E47" s="3">
        <v>20800</v>
      </c>
      <c r="F47" s="3">
        <v>26500</v>
      </c>
      <c r="G47" s="3">
        <v>495.45454545454538</v>
      </c>
      <c r="H47" s="3">
        <v>0</v>
      </c>
      <c r="I47" s="3">
        <v>0</v>
      </c>
      <c r="J47" s="3">
        <v>0</v>
      </c>
      <c r="K47" s="3">
        <v>2750000</v>
      </c>
      <c r="L47" s="3">
        <v>2750000</v>
      </c>
      <c r="M47" s="3">
        <v>33250000</v>
      </c>
      <c r="N47" s="3">
        <v>0</v>
      </c>
      <c r="O47" s="3">
        <v>0</v>
      </c>
      <c r="P47" s="3">
        <v>0</v>
      </c>
      <c r="Q47" s="3">
        <v>43497265.954598941</v>
      </c>
      <c r="R47" s="3">
        <v>0</v>
      </c>
      <c r="S47" s="3">
        <v>0</v>
      </c>
      <c r="T47" s="3">
        <v>35694910.651598498</v>
      </c>
      <c r="U47" s="3">
        <v>476043.79013363889</v>
      </c>
      <c r="V47" s="3">
        <v>123000</v>
      </c>
      <c r="W47" s="3">
        <v>0</v>
      </c>
      <c r="X47" s="3">
        <v>0</v>
      </c>
      <c r="Y47" s="3">
        <v>0</v>
      </c>
      <c r="Z47" s="3">
        <v>310</v>
      </c>
      <c r="AA47" s="3">
        <v>280</v>
      </c>
      <c r="AB47" s="3">
        <v>0</v>
      </c>
      <c r="AC47" s="3">
        <v>110</v>
      </c>
      <c r="AD47" s="3">
        <v>202000</v>
      </c>
      <c r="AE47" s="3">
        <v>0</v>
      </c>
    </row>
    <row r="48" spans="1:31" x14ac:dyDescent="0.3">
      <c r="A48" s="2" t="s">
        <v>151</v>
      </c>
      <c r="B48" s="3">
        <v>2530000</v>
      </c>
      <c r="C48" s="3">
        <v>900000</v>
      </c>
      <c r="D48" s="3">
        <v>1366055943.9920857</v>
      </c>
      <c r="E48" s="3">
        <v>2070000</v>
      </c>
      <c r="F48" s="3">
        <v>5700000</v>
      </c>
      <c r="G48" s="3">
        <v>0</v>
      </c>
      <c r="H48" s="3">
        <v>0</v>
      </c>
      <c r="I48" s="3">
        <v>895.45454545454538</v>
      </c>
      <c r="J48" s="3">
        <v>0</v>
      </c>
      <c r="K48" s="3">
        <v>300000</v>
      </c>
      <c r="L48" s="3">
        <v>8800000</v>
      </c>
      <c r="M48" s="3">
        <v>0</v>
      </c>
      <c r="N48" s="3">
        <v>0</v>
      </c>
      <c r="O48" s="3">
        <v>0</v>
      </c>
      <c r="P48" s="3">
        <v>0</v>
      </c>
      <c r="Q48" s="3">
        <v>62451368.565334558</v>
      </c>
      <c r="R48" s="3">
        <v>0</v>
      </c>
      <c r="S48" s="3">
        <v>6858996897.270154</v>
      </c>
      <c r="T48" s="3">
        <v>39066171632.915565</v>
      </c>
      <c r="U48" s="3">
        <v>0</v>
      </c>
      <c r="V48" s="3">
        <v>43000</v>
      </c>
      <c r="W48" s="3">
        <v>0</v>
      </c>
      <c r="X48" s="3">
        <v>6580000</v>
      </c>
      <c r="Y48" s="3">
        <v>0</v>
      </c>
      <c r="Z48" s="3">
        <v>51</v>
      </c>
      <c r="AA48" s="3">
        <v>71</v>
      </c>
      <c r="AB48" s="3">
        <v>0</v>
      </c>
      <c r="AC48" s="3">
        <v>120</v>
      </c>
      <c r="AD48" s="3">
        <v>0</v>
      </c>
      <c r="AE48" s="3">
        <v>64800</v>
      </c>
    </row>
    <row r="49" spans="1:31" x14ac:dyDescent="0.3">
      <c r="A49" s="2" t="s">
        <v>151</v>
      </c>
      <c r="B49" s="3">
        <v>9650000</v>
      </c>
      <c r="C49" s="3">
        <v>950000</v>
      </c>
      <c r="D49" s="3">
        <v>22093829850.340492</v>
      </c>
      <c r="E49" s="3">
        <v>271000</v>
      </c>
      <c r="F49" s="3">
        <v>2660000</v>
      </c>
      <c r="G49" s="3">
        <v>0</v>
      </c>
      <c r="H49" s="3">
        <v>0</v>
      </c>
      <c r="I49" s="3">
        <v>0</v>
      </c>
      <c r="J49" s="3">
        <v>0</v>
      </c>
      <c r="K49" s="3">
        <v>8500000</v>
      </c>
      <c r="L49" s="3">
        <v>13500000</v>
      </c>
      <c r="M49" s="3">
        <v>0</v>
      </c>
      <c r="N49" s="3">
        <v>7300000</v>
      </c>
      <c r="O49" s="3">
        <v>0</v>
      </c>
      <c r="P49" s="3">
        <v>0</v>
      </c>
      <c r="Q49" s="3">
        <v>474582762.4913497</v>
      </c>
      <c r="R49" s="3">
        <v>30991729328.775185</v>
      </c>
      <c r="S49" s="3">
        <v>0</v>
      </c>
      <c r="T49" s="3">
        <v>464222213342.65765</v>
      </c>
      <c r="U49" s="3">
        <v>20878.850543073488</v>
      </c>
      <c r="V49" s="3">
        <v>0</v>
      </c>
      <c r="W49" s="3">
        <v>143000000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1900</v>
      </c>
      <c r="AD49" s="3">
        <v>0</v>
      </c>
      <c r="AE49" s="3">
        <v>0</v>
      </c>
    </row>
    <row r="50" spans="1:31" x14ac:dyDescent="0.3">
      <c r="A50" s="2" t="s">
        <v>151</v>
      </c>
      <c r="B50" s="3">
        <v>1770000</v>
      </c>
      <c r="C50" s="3">
        <v>550000</v>
      </c>
      <c r="D50" s="3">
        <v>9504333.1959714741</v>
      </c>
      <c r="E50" s="3">
        <v>70</v>
      </c>
      <c r="F50" s="3">
        <v>1900000</v>
      </c>
      <c r="G50" s="3">
        <v>0</v>
      </c>
      <c r="H50" s="3">
        <v>0</v>
      </c>
      <c r="I50" s="3">
        <v>90</v>
      </c>
      <c r="J50" s="3">
        <v>25000</v>
      </c>
      <c r="K50" s="3">
        <v>1050000</v>
      </c>
      <c r="L50" s="3">
        <v>17500000</v>
      </c>
      <c r="M50" s="3">
        <v>0</v>
      </c>
      <c r="N50" s="3">
        <v>0</v>
      </c>
      <c r="O50" s="3">
        <v>0</v>
      </c>
      <c r="P50" s="3">
        <v>106461.56379354245</v>
      </c>
      <c r="Q50" s="3">
        <v>31696912.42807835</v>
      </c>
      <c r="R50" s="3">
        <v>0</v>
      </c>
      <c r="S50" s="3">
        <v>0</v>
      </c>
      <c r="T50" s="3">
        <v>57043940.155043684</v>
      </c>
      <c r="U50" s="3">
        <v>2362352.509806172</v>
      </c>
      <c r="V50" s="3">
        <v>0</v>
      </c>
      <c r="W50" s="3">
        <v>0</v>
      </c>
      <c r="X50" s="3">
        <v>205000</v>
      </c>
      <c r="Y50" s="3">
        <v>13500000</v>
      </c>
      <c r="Z50" s="3">
        <v>0</v>
      </c>
      <c r="AA50" s="3">
        <v>0</v>
      </c>
      <c r="AB50" s="3">
        <v>0</v>
      </c>
      <c r="AC50" s="3">
        <v>360</v>
      </c>
      <c r="AD50" s="3">
        <v>0</v>
      </c>
      <c r="AE50" s="3">
        <v>0</v>
      </c>
    </row>
    <row r="51" spans="1:31" x14ac:dyDescent="0.3">
      <c r="A51" s="2" t="s">
        <v>146</v>
      </c>
      <c r="B51" s="3">
        <v>36500</v>
      </c>
      <c r="C51" s="3">
        <v>21000</v>
      </c>
      <c r="D51" s="3">
        <v>144206904.43666559</v>
      </c>
      <c r="E51" s="3">
        <v>505</v>
      </c>
      <c r="F51" s="3">
        <v>6150</v>
      </c>
      <c r="G51" s="3">
        <v>1625</v>
      </c>
      <c r="H51" s="3">
        <v>0</v>
      </c>
      <c r="I51" s="3">
        <v>0</v>
      </c>
      <c r="J51" s="3">
        <v>0</v>
      </c>
      <c r="K51" s="3">
        <v>80000</v>
      </c>
      <c r="L51" s="3">
        <v>420000</v>
      </c>
      <c r="M51" s="3">
        <v>14750000</v>
      </c>
      <c r="N51" s="3">
        <v>0</v>
      </c>
      <c r="O51" s="3">
        <v>0</v>
      </c>
      <c r="P51" s="3">
        <v>0</v>
      </c>
      <c r="Q51" s="3">
        <v>8324956.2527169939</v>
      </c>
      <c r="R51" s="3">
        <v>2886.6589684269948</v>
      </c>
      <c r="S51" s="3">
        <v>1693.2808390813379</v>
      </c>
      <c r="T51" s="3">
        <v>1112530364.8416624</v>
      </c>
      <c r="U51" s="3">
        <v>22842575.452824552</v>
      </c>
      <c r="V51" s="3">
        <v>582000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54</v>
      </c>
      <c r="AD51" s="3">
        <v>0</v>
      </c>
      <c r="AE51" s="3">
        <v>12800</v>
      </c>
    </row>
    <row r="52" spans="1:31" x14ac:dyDescent="0.3">
      <c r="A52" s="2" t="s">
        <v>151</v>
      </c>
      <c r="B52" s="3">
        <v>37500000</v>
      </c>
      <c r="C52" s="3">
        <v>2750000</v>
      </c>
      <c r="D52" s="3">
        <v>11670876073.621553</v>
      </c>
      <c r="E52" s="3">
        <v>25000</v>
      </c>
      <c r="F52" s="3">
        <v>1500000</v>
      </c>
      <c r="G52" s="3">
        <v>0</v>
      </c>
      <c r="H52" s="3">
        <v>0</v>
      </c>
      <c r="I52" s="3">
        <v>0</v>
      </c>
      <c r="J52" s="3">
        <v>0</v>
      </c>
      <c r="K52" s="3">
        <v>6500000</v>
      </c>
      <c r="L52" s="3">
        <v>9500000</v>
      </c>
      <c r="M52" s="3">
        <v>0</v>
      </c>
      <c r="N52" s="3">
        <v>14900000</v>
      </c>
      <c r="O52" s="3">
        <v>0</v>
      </c>
      <c r="P52" s="3">
        <v>0</v>
      </c>
      <c r="Q52" s="3">
        <v>345833420.3870427</v>
      </c>
      <c r="R52" s="3">
        <v>44204968265.963593</v>
      </c>
      <c r="S52" s="3">
        <v>0</v>
      </c>
      <c r="T52" s="3">
        <v>524357821103.40558</v>
      </c>
      <c r="U52" s="3">
        <v>0</v>
      </c>
      <c r="V52" s="3">
        <v>64000</v>
      </c>
      <c r="W52" s="3">
        <v>158000000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1:31" x14ac:dyDescent="0.3">
      <c r="A53" s="2" t="s">
        <v>151</v>
      </c>
      <c r="B53" s="3">
        <v>5500000</v>
      </c>
      <c r="C53" s="3">
        <v>40000</v>
      </c>
      <c r="D53" s="3">
        <v>17859201.79851272</v>
      </c>
      <c r="E53" s="3">
        <v>288</v>
      </c>
      <c r="F53" s="3">
        <v>600000</v>
      </c>
      <c r="G53" s="3">
        <v>0</v>
      </c>
      <c r="H53" s="3">
        <v>20</v>
      </c>
      <c r="I53" s="3">
        <v>0</v>
      </c>
      <c r="J53" s="3">
        <v>0</v>
      </c>
      <c r="K53" s="3">
        <v>6000000</v>
      </c>
      <c r="L53" s="3">
        <v>29500000</v>
      </c>
      <c r="M53" s="3">
        <v>0</v>
      </c>
      <c r="N53" s="3">
        <v>0</v>
      </c>
      <c r="O53" s="3">
        <v>0</v>
      </c>
      <c r="P53" s="3">
        <v>359283.39903712919</v>
      </c>
      <c r="Q53" s="3">
        <v>38723264.262524545</v>
      </c>
      <c r="R53" s="3">
        <v>0</v>
      </c>
      <c r="S53" s="3">
        <v>0</v>
      </c>
      <c r="T53" s="3">
        <v>487796769.76790243</v>
      </c>
      <c r="U53" s="3">
        <v>2067764.2221777607</v>
      </c>
      <c r="V53" s="3">
        <v>0</v>
      </c>
      <c r="W53" s="3">
        <v>0</v>
      </c>
      <c r="X53" s="3">
        <v>0</v>
      </c>
      <c r="Y53" s="3">
        <v>1800000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800</v>
      </c>
    </row>
    <row r="54" spans="1:31" x14ac:dyDescent="0.3">
      <c r="A54" s="2" t="s">
        <v>146</v>
      </c>
      <c r="B54" s="3">
        <v>62500</v>
      </c>
      <c r="C54" s="3">
        <v>95000</v>
      </c>
      <c r="D54" s="3">
        <v>516162715.44250464</v>
      </c>
      <c r="E54" s="3">
        <v>887</v>
      </c>
      <c r="F54" s="3">
        <v>8100</v>
      </c>
      <c r="G54" s="3">
        <v>2331.8181818181815</v>
      </c>
      <c r="H54" s="3">
        <v>0</v>
      </c>
      <c r="I54" s="3">
        <v>0</v>
      </c>
      <c r="J54" s="3">
        <v>0</v>
      </c>
      <c r="K54" s="3">
        <v>3550000</v>
      </c>
      <c r="L54" s="3">
        <v>3550000</v>
      </c>
      <c r="M54" s="3">
        <v>52500000</v>
      </c>
      <c r="N54" s="3">
        <v>0</v>
      </c>
      <c r="O54" s="3">
        <v>0</v>
      </c>
      <c r="P54" s="3">
        <v>0</v>
      </c>
      <c r="Q54" s="3">
        <v>14984317.269993044</v>
      </c>
      <c r="R54" s="3">
        <v>0</v>
      </c>
      <c r="S54" s="3">
        <v>0</v>
      </c>
      <c r="T54" s="3">
        <v>670243207.41584253</v>
      </c>
      <c r="U54" s="3">
        <v>29455874.32032644</v>
      </c>
      <c r="V54" s="3">
        <v>14600000</v>
      </c>
      <c r="W54" s="3">
        <v>0</v>
      </c>
      <c r="X54" s="3">
        <v>0</v>
      </c>
      <c r="Y54" s="3">
        <v>0</v>
      </c>
      <c r="Z54" s="3">
        <v>210</v>
      </c>
      <c r="AA54" s="3">
        <v>430</v>
      </c>
      <c r="AB54" s="3">
        <v>0</v>
      </c>
      <c r="AC54" s="3">
        <v>130</v>
      </c>
      <c r="AD54" s="3">
        <v>0</v>
      </c>
      <c r="AE54" s="3">
        <v>0</v>
      </c>
    </row>
    <row r="55" spans="1:31" x14ac:dyDescent="0.3">
      <c r="A55" s="2" t="s">
        <v>151</v>
      </c>
      <c r="B55" s="3">
        <v>12200000</v>
      </c>
      <c r="C55" s="3">
        <v>550000</v>
      </c>
      <c r="D55" s="3">
        <v>183001545.08882159</v>
      </c>
      <c r="E55" s="3">
        <v>580000</v>
      </c>
      <c r="F55" s="3">
        <v>4000000</v>
      </c>
      <c r="G55" s="3">
        <v>385</v>
      </c>
      <c r="H55" s="3">
        <v>0</v>
      </c>
      <c r="I55" s="3">
        <v>0</v>
      </c>
      <c r="J55" s="3">
        <v>0</v>
      </c>
      <c r="K55" s="3">
        <v>3150000</v>
      </c>
      <c r="L55" s="3">
        <v>19500000</v>
      </c>
      <c r="M55" s="3">
        <v>0</v>
      </c>
      <c r="N55" s="3">
        <v>0</v>
      </c>
      <c r="O55" s="3">
        <v>0</v>
      </c>
      <c r="P55" s="3">
        <v>14683.578688202033</v>
      </c>
      <c r="Q55" s="3">
        <v>45215981.240516201</v>
      </c>
      <c r="R55" s="3">
        <v>0</v>
      </c>
      <c r="S55" s="3">
        <v>0</v>
      </c>
      <c r="T55" s="3">
        <v>70929945.357486352</v>
      </c>
      <c r="U55" s="3">
        <v>641009.67176478705</v>
      </c>
      <c r="V55" s="3">
        <v>0</v>
      </c>
      <c r="W55" s="3">
        <v>0</v>
      </c>
      <c r="X55" s="3">
        <v>0</v>
      </c>
      <c r="Y55" s="3">
        <v>13700000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</row>
    <row r="56" spans="1:31" x14ac:dyDescent="0.3">
      <c r="A56" s="2" t="s">
        <v>151</v>
      </c>
      <c r="B56" s="3">
        <v>60500000</v>
      </c>
      <c r="C56" s="3">
        <v>3750000</v>
      </c>
      <c r="D56" s="3">
        <v>86175786.309055522</v>
      </c>
      <c r="E56" s="3">
        <v>100000</v>
      </c>
      <c r="F56" s="3">
        <v>48500000</v>
      </c>
      <c r="G56" s="3">
        <v>0</v>
      </c>
      <c r="H56" s="3">
        <v>0</v>
      </c>
      <c r="I56" s="3">
        <v>2133.3333333333335</v>
      </c>
      <c r="J56" s="3">
        <v>0</v>
      </c>
      <c r="K56" s="3">
        <v>144000000</v>
      </c>
      <c r="L56" s="3">
        <v>590000000</v>
      </c>
      <c r="M56" s="3">
        <v>0</v>
      </c>
      <c r="N56" s="3">
        <v>0</v>
      </c>
      <c r="O56" s="3">
        <v>0</v>
      </c>
      <c r="P56" s="3">
        <v>0</v>
      </c>
      <c r="Q56" s="3">
        <v>41574492.834701002</v>
      </c>
      <c r="R56" s="3">
        <v>0</v>
      </c>
      <c r="S56" s="3">
        <v>12901325.208210202</v>
      </c>
      <c r="T56" s="3">
        <v>2383236748.0807981</v>
      </c>
      <c r="U56" s="3">
        <v>0</v>
      </c>
      <c r="V56" s="3">
        <v>0</v>
      </c>
      <c r="W56" s="3">
        <v>0</v>
      </c>
      <c r="X56" s="3">
        <v>17600000</v>
      </c>
      <c r="Y56" s="3">
        <v>0</v>
      </c>
      <c r="Z56" s="3">
        <v>0</v>
      </c>
      <c r="AA56" s="3">
        <v>0</v>
      </c>
      <c r="AB56" s="3">
        <v>0</v>
      </c>
      <c r="AC56" s="3">
        <v>550</v>
      </c>
      <c r="AD56" s="3">
        <v>0</v>
      </c>
      <c r="AE56" s="3">
        <v>4400</v>
      </c>
    </row>
    <row r="57" spans="1:31" x14ac:dyDescent="0.3">
      <c r="A57" s="2" t="s">
        <v>151</v>
      </c>
      <c r="B57" s="3">
        <v>12500000</v>
      </c>
      <c r="C57" s="3">
        <v>800000</v>
      </c>
      <c r="D57" s="3">
        <v>6482061716.3195839</v>
      </c>
      <c r="E57" s="3">
        <v>1840</v>
      </c>
      <c r="F57" s="3">
        <v>21500000</v>
      </c>
      <c r="G57" s="3">
        <v>0</v>
      </c>
      <c r="H57" s="3">
        <v>0</v>
      </c>
      <c r="I57" s="3">
        <v>0</v>
      </c>
      <c r="J57" s="3">
        <v>0</v>
      </c>
      <c r="K57" s="3">
        <v>27500000</v>
      </c>
      <c r="L57" s="3">
        <v>110000000</v>
      </c>
      <c r="M57" s="3">
        <v>0</v>
      </c>
      <c r="N57" s="3">
        <v>10900000</v>
      </c>
      <c r="O57" s="3">
        <v>0</v>
      </c>
      <c r="P57" s="3">
        <v>0</v>
      </c>
      <c r="Q57" s="3">
        <v>576052359.71084261</v>
      </c>
      <c r="R57" s="3">
        <v>42258998376.479462</v>
      </c>
      <c r="S57" s="3">
        <v>0</v>
      </c>
      <c r="T57" s="3">
        <v>539777084385.60126</v>
      </c>
      <c r="U57" s="3">
        <v>0</v>
      </c>
      <c r="V57" s="3">
        <v>0</v>
      </c>
      <c r="W57" s="3">
        <v>171000000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1:31" x14ac:dyDescent="0.3">
      <c r="A58" s="2" t="s">
        <v>146</v>
      </c>
      <c r="B58" s="3">
        <v>445000</v>
      </c>
      <c r="C58" s="3">
        <v>24000</v>
      </c>
      <c r="D58" s="3">
        <v>9018890688.3694305</v>
      </c>
      <c r="E58" s="3">
        <v>11400</v>
      </c>
      <c r="F58" s="3">
        <v>3000</v>
      </c>
      <c r="G58" s="3">
        <v>6409.090909090909</v>
      </c>
      <c r="H58" s="3">
        <v>0</v>
      </c>
      <c r="I58" s="3">
        <v>0</v>
      </c>
      <c r="J58" s="3">
        <v>0</v>
      </c>
      <c r="K58" s="3">
        <v>1500000</v>
      </c>
      <c r="L58" s="3">
        <v>1700000</v>
      </c>
      <c r="M58" s="3">
        <v>37600000</v>
      </c>
      <c r="N58" s="3">
        <v>0</v>
      </c>
      <c r="O58" s="3">
        <v>0</v>
      </c>
      <c r="P58" s="3">
        <v>0</v>
      </c>
      <c r="Q58" s="3">
        <v>9596038.0197634175</v>
      </c>
      <c r="R58" s="3">
        <v>0</v>
      </c>
      <c r="S58" s="3">
        <v>0</v>
      </c>
      <c r="T58" s="3">
        <v>2396366748.0871735</v>
      </c>
      <c r="U58" s="3">
        <v>15071071.305348933</v>
      </c>
      <c r="V58" s="3">
        <v>169000</v>
      </c>
      <c r="W58" s="3">
        <v>446000</v>
      </c>
      <c r="X58" s="3">
        <v>0</v>
      </c>
      <c r="Y58" s="3">
        <v>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1:31" x14ac:dyDescent="0.3">
      <c r="A59" s="2" t="s">
        <v>146</v>
      </c>
      <c r="B59" s="3">
        <v>165000</v>
      </c>
      <c r="C59" s="3">
        <v>42000</v>
      </c>
      <c r="D59" s="3">
        <v>3110903994.7701259</v>
      </c>
      <c r="E59" s="3">
        <v>4100</v>
      </c>
      <c r="F59" s="3">
        <v>3500</v>
      </c>
      <c r="G59" s="3">
        <v>1713.6363636363635</v>
      </c>
      <c r="H59" s="3">
        <v>0</v>
      </c>
      <c r="I59" s="3">
        <v>0</v>
      </c>
      <c r="J59" s="3">
        <v>0</v>
      </c>
      <c r="K59" s="3">
        <v>1100000</v>
      </c>
      <c r="L59" s="3">
        <v>1200000</v>
      </c>
      <c r="M59" s="3">
        <v>28100000</v>
      </c>
      <c r="N59" s="3">
        <v>0</v>
      </c>
      <c r="O59" s="3">
        <v>0</v>
      </c>
      <c r="P59" s="3">
        <v>0</v>
      </c>
      <c r="Q59" s="3">
        <v>17384089.930383287</v>
      </c>
      <c r="R59" s="3">
        <v>0</v>
      </c>
      <c r="S59" s="3">
        <v>0</v>
      </c>
      <c r="T59" s="3">
        <v>1216862044.6108589</v>
      </c>
      <c r="U59" s="3">
        <v>14310236.942441382</v>
      </c>
      <c r="V59" s="3">
        <v>90000</v>
      </c>
      <c r="W59" s="3">
        <v>0</v>
      </c>
      <c r="X59" s="3">
        <v>0</v>
      </c>
      <c r="Y59" s="3">
        <v>0</v>
      </c>
      <c r="Z59" s="3">
        <v>69</v>
      </c>
      <c r="AA59" s="3">
        <v>0</v>
      </c>
      <c r="AB59" s="3">
        <v>0</v>
      </c>
      <c r="AC59" s="3">
        <v>0</v>
      </c>
      <c r="AD59" s="3">
        <v>0</v>
      </c>
      <c r="AE59" s="3">
        <v>16400</v>
      </c>
    </row>
    <row r="60" spans="1:31" x14ac:dyDescent="0.3">
      <c r="A60" s="2" t="s">
        <v>151</v>
      </c>
      <c r="B60" s="3">
        <v>595000000</v>
      </c>
      <c r="C60" s="3">
        <v>57000000</v>
      </c>
      <c r="D60" s="3">
        <v>10189388677.119694</v>
      </c>
      <c r="E60" s="3">
        <v>239500</v>
      </c>
      <c r="F60" s="3">
        <v>49500000</v>
      </c>
      <c r="G60" s="3">
        <v>0</v>
      </c>
      <c r="H60" s="3">
        <v>0</v>
      </c>
      <c r="I60" s="3">
        <v>0</v>
      </c>
      <c r="J60" s="3">
        <v>0</v>
      </c>
      <c r="K60" s="3">
        <v>8500000</v>
      </c>
      <c r="L60" s="3">
        <v>11800000</v>
      </c>
      <c r="M60" s="3">
        <v>0</v>
      </c>
      <c r="N60" s="3">
        <v>0</v>
      </c>
      <c r="O60" s="3">
        <v>0</v>
      </c>
      <c r="P60" s="3">
        <v>0</v>
      </c>
      <c r="Q60" s="3">
        <v>108135168.16962105</v>
      </c>
      <c r="R60" s="3">
        <v>22380948952.926548</v>
      </c>
      <c r="S60" s="3">
        <v>0</v>
      </c>
      <c r="T60" s="3">
        <v>439409010501.15594</v>
      </c>
      <c r="U60" s="3">
        <v>0</v>
      </c>
      <c r="V60" s="3">
        <v>0</v>
      </c>
      <c r="W60" s="3">
        <v>66600000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1:31" x14ac:dyDescent="0.3">
      <c r="A61" s="2" t="s">
        <v>151</v>
      </c>
      <c r="B61" s="3">
        <v>400000</v>
      </c>
      <c r="C61" s="3">
        <v>215000</v>
      </c>
      <c r="D61" s="3">
        <v>118254524.49546276</v>
      </c>
      <c r="E61" s="3">
        <v>315</v>
      </c>
      <c r="F61" s="3">
        <v>365000</v>
      </c>
      <c r="G61" s="3">
        <v>0</v>
      </c>
      <c r="H61" s="3">
        <v>0</v>
      </c>
      <c r="I61" s="3">
        <v>195.45454545454544</v>
      </c>
      <c r="J61" s="3">
        <v>0</v>
      </c>
      <c r="K61" s="3">
        <v>11500</v>
      </c>
      <c r="L61" s="3">
        <v>65000</v>
      </c>
      <c r="M61" s="3">
        <v>0</v>
      </c>
      <c r="N61" s="3">
        <v>0</v>
      </c>
      <c r="O61" s="3">
        <v>0</v>
      </c>
      <c r="P61" s="3">
        <v>0</v>
      </c>
      <c r="Q61" s="3">
        <v>24798588.378575128</v>
      </c>
      <c r="R61" s="3">
        <v>0</v>
      </c>
      <c r="S61" s="3">
        <v>5915359.9199372474</v>
      </c>
      <c r="T61" s="3">
        <v>7161998150.4890385</v>
      </c>
      <c r="U61" s="3">
        <v>0</v>
      </c>
      <c r="V61" s="3">
        <v>150000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1100</v>
      </c>
      <c r="AD61" s="3">
        <v>0</v>
      </c>
      <c r="AE61" s="3">
        <v>22400</v>
      </c>
    </row>
    <row r="62" spans="1:31" x14ac:dyDescent="0.3">
      <c r="A62" s="2" t="s">
        <v>151</v>
      </c>
      <c r="B62" s="3">
        <v>150000</v>
      </c>
      <c r="C62" s="3">
        <v>570000</v>
      </c>
      <c r="D62" s="3">
        <v>532970159.82538342</v>
      </c>
      <c r="E62" s="3">
        <v>910</v>
      </c>
      <c r="F62" s="3">
        <v>87000</v>
      </c>
      <c r="G62" s="3">
        <v>0</v>
      </c>
      <c r="H62" s="3">
        <v>0</v>
      </c>
      <c r="I62" s="3">
        <v>100</v>
      </c>
      <c r="J62" s="3">
        <v>0</v>
      </c>
      <c r="K62" s="3">
        <v>5000</v>
      </c>
      <c r="L62" s="3">
        <v>12500</v>
      </c>
      <c r="M62" s="3">
        <v>0</v>
      </c>
      <c r="N62" s="3">
        <v>0</v>
      </c>
      <c r="O62" s="3">
        <v>0</v>
      </c>
      <c r="P62" s="3">
        <v>0</v>
      </c>
      <c r="Q62" s="3">
        <v>17160975.053392589</v>
      </c>
      <c r="R62" s="3">
        <v>0</v>
      </c>
      <c r="S62" s="3">
        <v>5292318.744746957</v>
      </c>
      <c r="T62" s="3">
        <v>3940658001.1748557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250</v>
      </c>
      <c r="AD62" s="3">
        <v>0</v>
      </c>
      <c r="AE62" s="3">
        <v>2000</v>
      </c>
    </row>
    <row r="63" spans="1:31" x14ac:dyDescent="0.3">
      <c r="A63" s="2" t="s">
        <v>151</v>
      </c>
      <c r="B63" s="3">
        <v>215000</v>
      </c>
      <c r="C63" s="3">
        <v>67500</v>
      </c>
      <c r="D63" s="3">
        <v>34506300</v>
      </c>
      <c r="E63" s="3">
        <v>125</v>
      </c>
      <c r="F63" s="3">
        <v>300000</v>
      </c>
      <c r="G63" s="3">
        <v>0</v>
      </c>
      <c r="H63" s="3">
        <v>0</v>
      </c>
      <c r="I63" s="3">
        <v>0</v>
      </c>
      <c r="J63" s="3">
        <v>0</v>
      </c>
      <c r="K63" s="3">
        <v>39500</v>
      </c>
      <c r="L63" s="3">
        <v>60000</v>
      </c>
      <c r="M63" s="3">
        <v>0</v>
      </c>
      <c r="N63" s="3">
        <v>0</v>
      </c>
      <c r="O63" s="3">
        <v>0</v>
      </c>
      <c r="P63" s="3">
        <v>323059.08596648602</v>
      </c>
      <c r="Q63" s="3">
        <v>1836588.920262781</v>
      </c>
      <c r="R63" s="3">
        <v>0</v>
      </c>
      <c r="S63" s="3">
        <v>0</v>
      </c>
      <c r="T63" s="3">
        <v>16089903.714913895</v>
      </c>
      <c r="U63" s="3">
        <v>307227.90812815167</v>
      </c>
      <c r="V63" s="3">
        <v>0</v>
      </c>
      <c r="W63" s="3">
        <v>0</v>
      </c>
      <c r="X63" s="3">
        <v>0</v>
      </c>
      <c r="Y63" s="3">
        <v>3400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1:31" x14ac:dyDescent="0.3">
      <c r="A64" s="2" t="s">
        <v>146</v>
      </c>
      <c r="B64" s="3">
        <v>44000</v>
      </c>
      <c r="C64" s="3">
        <v>9250</v>
      </c>
      <c r="D64" s="3">
        <v>17585594.216187295</v>
      </c>
      <c r="E64" s="3">
        <v>526</v>
      </c>
      <c r="F64" s="3">
        <v>1550</v>
      </c>
      <c r="G64" s="3">
        <v>32800</v>
      </c>
      <c r="H64" s="3">
        <v>0</v>
      </c>
      <c r="I64" s="3">
        <v>0</v>
      </c>
      <c r="J64" s="3">
        <v>0</v>
      </c>
      <c r="K64" s="3">
        <v>20000</v>
      </c>
      <c r="L64" s="3">
        <v>515000</v>
      </c>
      <c r="M64" s="3">
        <v>371430.83957256051</v>
      </c>
      <c r="N64" s="3">
        <v>45901.825749549418</v>
      </c>
      <c r="O64" s="3">
        <v>285891.97178846097</v>
      </c>
      <c r="P64" s="3">
        <v>349576.28278218966</v>
      </c>
      <c r="Q64" s="3">
        <v>6640594.4787906148</v>
      </c>
      <c r="R64" s="3">
        <v>0</v>
      </c>
      <c r="S64" s="3">
        <v>0</v>
      </c>
      <c r="T64" s="3">
        <v>5380303.1064058095</v>
      </c>
      <c r="U64" s="3">
        <v>311220.14022746019</v>
      </c>
      <c r="V64" s="3">
        <v>18400</v>
      </c>
      <c r="W64" s="3">
        <v>0</v>
      </c>
      <c r="X64" s="3">
        <v>0</v>
      </c>
      <c r="Y64" s="3">
        <v>11900</v>
      </c>
      <c r="Z64" s="3">
        <v>95</v>
      </c>
      <c r="AA64" s="3">
        <v>320</v>
      </c>
      <c r="AB64" s="3">
        <v>0</v>
      </c>
      <c r="AC64" s="3">
        <v>87</v>
      </c>
      <c r="AD64" s="3">
        <v>0</v>
      </c>
      <c r="AE64" s="3">
        <v>18000</v>
      </c>
    </row>
    <row r="65" spans="1:31" x14ac:dyDescent="0.3">
      <c r="A65" s="2" t="s">
        <v>151</v>
      </c>
      <c r="B65" s="3">
        <v>1670000</v>
      </c>
      <c r="C65" s="3">
        <v>17500</v>
      </c>
      <c r="D65" s="3">
        <v>17829057.238081884</v>
      </c>
      <c r="E65" s="3">
        <v>2000</v>
      </c>
      <c r="F65" s="3">
        <v>2270000</v>
      </c>
      <c r="G65" s="3">
        <v>365</v>
      </c>
      <c r="H65" s="3">
        <v>0</v>
      </c>
      <c r="I65" s="3">
        <v>0</v>
      </c>
      <c r="J65" s="3">
        <v>477.27272727272731</v>
      </c>
      <c r="K65" s="3">
        <v>0</v>
      </c>
      <c r="L65" s="3">
        <v>75000</v>
      </c>
      <c r="M65" s="3">
        <v>0</v>
      </c>
      <c r="N65" s="3">
        <v>0</v>
      </c>
      <c r="O65" s="3">
        <v>0</v>
      </c>
      <c r="P65" s="3">
        <v>3162037.091316876</v>
      </c>
      <c r="Q65" s="3">
        <v>17272172.232271187</v>
      </c>
      <c r="R65" s="3">
        <v>0</v>
      </c>
      <c r="S65" s="3">
        <v>0</v>
      </c>
      <c r="T65" s="3">
        <v>1889936867.842103</v>
      </c>
      <c r="U65" s="3">
        <v>923577.46163128072</v>
      </c>
      <c r="V65" s="3">
        <v>45800</v>
      </c>
      <c r="W65" s="3">
        <v>0</v>
      </c>
      <c r="X65" s="3">
        <v>0</v>
      </c>
      <c r="Y65" s="3">
        <v>11400000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1:31" x14ac:dyDescent="0.3">
      <c r="A66" s="2" t="s">
        <v>151</v>
      </c>
      <c r="B66" s="3">
        <v>19450000</v>
      </c>
      <c r="C66" s="3">
        <v>20000</v>
      </c>
      <c r="D66" s="3">
        <v>123539668.46509609</v>
      </c>
      <c r="E66" s="3">
        <v>0</v>
      </c>
      <c r="F66" s="3">
        <v>110000</v>
      </c>
      <c r="G66" s="3">
        <v>0</v>
      </c>
      <c r="H66" s="3">
        <v>0</v>
      </c>
      <c r="I66" s="3">
        <v>0</v>
      </c>
      <c r="J66" s="3">
        <v>75</v>
      </c>
      <c r="K66" s="3">
        <v>12000000</v>
      </c>
      <c r="L66" s="3">
        <v>35500000</v>
      </c>
      <c r="M66" s="3">
        <v>0</v>
      </c>
      <c r="N66" s="3">
        <v>0</v>
      </c>
      <c r="O66" s="3">
        <v>0</v>
      </c>
      <c r="P66" s="3">
        <v>0</v>
      </c>
      <c r="Q66" s="3">
        <v>173273425.0185807</v>
      </c>
      <c r="R66" s="3">
        <v>0</v>
      </c>
      <c r="S66" s="3">
        <v>14632345808.300732</v>
      </c>
      <c r="T66" s="3">
        <v>69042143571.123993</v>
      </c>
      <c r="U66" s="3">
        <v>0</v>
      </c>
      <c r="V66" s="3">
        <v>0</v>
      </c>
      <c r="W66" s="3">
        <v>0</v>
      </c>
      <c r="X66" s="3">
        <v>204000000</v>
      </c>
      <c r="Y66" s="3">
        <v>0</v>
      </c>
      <c r="Z66" s="3">
        <v>0</v>
      </c>
      <c r="AA66" s="3">
        <v>0</v>
      </c>
      <c r="AB66" s="3">
        <v>0</v>
      </c>
      <c r="AC66" s="3">
        <v>59</v>
      </c>
      <c r="AD66" s="3">
        <v>59000</v>
      </c>
      <c r="AE66" s="3">
        <v>15600</v>
      </c>
    </row>
    <row r="67" spans="1:31" x14ac:dyDescent="0.3">
      <c r="A67" s="2" t="s">
        <v>151</v>
      </c>
      <c r="B67" s="3">
        <v>167000</v>
      </c>
      <c r="C67" s="3">
        <v>1155000</v>
      </c>
      <c r="D67" s="3">
        <v>707093754.65769422</v>
      </c>
      <c r="E67" s="3">
        <v>0</v>
      </c>
      <c r="F67" s="3">
        <v>500</v>
      </c>
      <c r="G67" s="3">
        <v>0</v>
      </c>
      <c r="H67" s="3">
        <v>0</v>
      </c>
      <c r="I67" s="3">
        <v>0</v>
      </c>
      <c r="J67" s="3">
        <v>0</v>
      </c>
      <c r="K67" s="3">
        <v>4100000</v>
      </c>
      <c r="L67" s="3">
        <v>5200000</v>
      </c>
      <c r="M67" s="3">
        <v>0</v>
      </c>
      <c r="N67" s="3">
        <v>0</v>
      </c>
      <c r="O67" s="3">
        <v>0</v>
      </c>
      <c r="P67" s="3">
        <v>0</v>
      </c>
      <c r="Q67" s="3">
        <v>997440412.00108635</v>
      </c>
      <c r="R67" s="3">
        <v>836738269.50697255</v>
      </c>
      <c r="S67" s="3">
        <v>0</v>
      </c>
      <c r="T67" s="3">
        <v>24482163672.423126</v>
      </c>
      <c r="U67" s="3">
        <v>0</v>
      </c>
      <c r="V67" s="3">
        <v>1350000</v>
      </c>
      <c r="W67" s="3">
        <v>38600000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</row>
    <row r="68" spans="1:31" x14ac:dyDescent="0.3">
      <c r="A68" s="2" t="s">
        <v>151</v>
      </c>
      <c r="B68" s="3">
        <v>10550000</v>
      </c>
      <c r="C68" s="3">
        <v>1450000</v>
      </c>
      <c r="D68" s="3">
        <v>759360</v>
      </c>
      <c r="E68" s="3">
        <v>0</v>
      </c>
      <c r="F68" s="3">
        <v>1010000</v>
      </c>
      <c r="G68" s="3">
        <v>0</v>
      </c>
      <c r="H68" s="3">
        <v>0</v>
      </c>
      <c r="I68" s="3">
        <v>0</v>
      </c>
      <c r="J68" s="3">
        <v>0</v>
      </c>
      <c r="K68" s="3">
        <v>20800000</v>
      </c>
      <c r="L68" s="3">
        <v>28000000</v>
      </c>
      <c r="M68" s="3">
        <v>0</v>
      </c>
      <c r="N68" s="3">
        <v>0</v>
      </c>
      <c r="O68" s="3">
        <v>0</v>
      </c>
      <c r="P68" s="3">
        <v>7387.3293835377008</v>
      </c>
      <c r="Q68" s="3">
        <v>487003362.71040225</v>
      </c>
      <c r="R68" s="3">
        <v>0</v>
      </c>
      <c r="S68" s="3">
        <v>0</v>
      </c>
      <c r="T68" s="3">
        <v>796165.28937149735</v>
      </c>
      <c r="U68" s="3">
        <v>0</v>
      </c>
      <c r="V68" s="3">
        <v>1900000</v>
      </c>
      <c r="W68" s="3">
        <v>0</v>
      </c>
      <c r="X68" s="3">
        <v>0</v>
      </c>
      <c r="Y68" s="3">
        <v>118000000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1:31" x14ac:dyDescent="0.3">
      <c r="A69" s="2" t="s">
        <v>151</v>
      </c>
      <c r="B69" s="3">
        <v>27700</v>
      </c>
      <c r="C69" s="3">
        <v>245000</v>
      </c>
      <c r="D69" s="3">
        <v>855944.01588656427</v>
      </c>
      <c r="E69" s="3">
        <v>2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11000</v>
      </c>
      <c r="L69" s="3">
        <v>110000</v>
      </c>
      <c r="M69" s="3">
        <v>0</v>
      </c>
      <c r="N69" s="3">
        <v>0</v>
      </c>
      <c r="O69" s="3">
        <v>0</v>
      </c>
      <c r="P69" s="3">
        <v>0</v>
      </c>
      <c r="Q69" s="3">
        <v>162435877.90922579</v>
      </c>
      <c r="R69" s="3">
        <v>0</v>
      </c>
      <c r="S69" s="3">
        <v>0</v>
      </c>
      <c r="T69" s="3">
        <v>4073009495.1818724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120</v>
      </c>
      <c r="AD69" s="3">
        <v>0</v>
      </c>
    </row>
    <row r="70" spans="1:31" x14ac:dyDescent="0.3">
      <c r="A70" s="2" t="s">
        <v>146</v>
      </c>
      <c r="B70" s="3">
        <v>655000</v>
      </c>
      <c r="C70" s="3">
        <v>150000</v>
      </c>
      <c r="D70" s="3">
        <v>834024315.6499815</v>
      </c>
      <c r="E70" s="3">
        <v>35600</v>
      </c>
      <c r="F70" s="3">
        <v>90500</v>
      </c>
      <c r="G70" s="3">
        <v>5400</v>
      </c>
      <c r="H70" s="3">
        <v>0</v>
      </c>
      <c r="I70" s="3">
        <v>0</v>
      </c>
      <c r="J70" s="3">
        <v>75</v>
      </c>
      <c r="K70" s="3">
        <v>1000000</v>
      </c>
      <c r="L70" s="3">
        <v>1320000</v>
      </c>
      <c r="M70" s="3">
        <v>19000000</v>
      </c>
      <c r="N70" s="3">
        <v>0</v>
      </c>
      <c r="O70" s="3">
        <v>0</v>
      </c>
      <c r="P70" s="3">
        <v>0</v>
      </c>
      <c r="Q70" s="3">
        <v>14696772.109407524</v>
      </c>
      <c r="R70" s="3">
        <v>0</v>
      </c>
      <c r="S70" s="3">
        <v>565.68542494923804</v>
      </c>
      <c r="T70" s="3">
        <v>2221799926.0651917</v>
      </c>
      <c r="U70" s="3">
        <v>23197693.311155792</v>
      </c>
      <c r="V70" s="3">
        <v>270000</v>
      </c>
      <c r="W70" s="3">
        <v>0</v>
      </c>
      <c r="X70" s="3">
        <v>0</v>
      </c>
      <c r="Y70" s="3">
        <v>0</v>
      </c>
      <c r="Z70" s="3">
        <v>187</v>
      </c>
      <c r="AA70" s="3">
        <v>740</v>
      </c>
      <c r="AB70" s="3">
        <v>0</v>
      </c>
      <c r="AC70" s="3">
        <v>233</v>
      </c>
      <c r="AD70" s="3">
        <v>0</v>
      </c>
      <c r="AE70" s="3">
        <v>444000</v>
      </c>
    </row>
    <row r="71" spans="1:31" x14ac:dyDescent="0.3">
      <c r="A71" s="2" t="s">
        <v>151</v>
      </c>
      <c r="B71" s="3">
        <v>1080000</v>
      </c>
      <c r="C71" s="3">
        <v>185000</v>
      </c>
      <c r="D71" s="3">
        <v>87603397.069899067</v>
      </c>
      <c r="E71" s="3">
        <v>0</v>
      </c>
      <c r="F71" s="3">
        <v>490000</v>
      </c>
      <c r="G71" s="3">
        <v>0</v>
      </c>
      <c r="H71" s="3">
        <v>0</v>
      </c>
      <c r="I71" s="3">
        <v>0</v>
      </c>
      <c r="J71" s="3">
        <v>0</v>
      </c>
      <c r="K71" s="3">
        <v>106000</v>
      </c>
      <c r="L71" s="3">
        <v>220000</v>
      </c>
      <c r="M71" s="3">
        <v>0</v>
      </c>
      <c r="N71" s="3">
        <v>0</v>
      </c>
      <c r="O71" s="3">
        <v>0</v>
      </c>
      <c r="P71" s="3">
        <v>0</v>
      </c>
      <c r="Q71" s="3">
        <v>64919020.713672638</v>
      </c>
      <c r="R71" s="3">
        <v>0</v>
      </c>
      <c r="S71" s="3">
        <v>500878960.00735348</v>
      </c>
      <c r="T71" s="3">
        <v>20210543552.49992</v>
      </c>
      <c r="U71" s="3">
        <v>0</v>
      </c>
      <c r="V71" s="3">
        <v>0</v>
      </c>
      <c r="W71" s="3">
        <v>0</v>
      </c>
      <c r="X71" s="3">
        <v>12900000</v>
      </c>
      <c r="Y71" s="3">
        <v>0</v>
      </c>
      <c r="Z71" s="3">
        <v>0</v>
      </c>
      <c r="AA71" s="3">
        <v>0</v>
      </c>
      <c r="AB71" s="3">
        <v>0</v>
      </c>
      <c r="AC71" s="3">
        <v>56</v>
      </c>
      <c r="AD71" s="3">
        <v>0</v>
      </c>
      <c r="AE71" s="3">
        <v>39200</v>
      </c>
    </row>
    <row r="72" spans="1:31" x14ac:dyDescent="0.3">
      <c r="A72" s="2" t="s">
        <v>151</v>
      </c>
      <c r="B72" s="3">
        <v>45500</v>
      </c>
      <c r="C72" s="3">
        <v>105000</v>
      </c>
      <c r="D72" s="3">
        <v>53284165.183739156</v>
      </c>
      <c r="E72" s="3">
        <v>38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4500</v>
      </c>
      <c r="M72" s="3">
        <v>0</v>
      </c>
      <c r="N72" s="3">
        <v>0</v>
      </c>
      <c r="O72" s="3">
        <v>0</v>
      </c>
      <c r="P72" s="3">
        <v>0</v>
      </c>
      <c r="Q72" s="3">
        <v>59690739.589168571</v>
      </c>
      <c r="R72" s="3">
        <v>951841888.68019044</v>
      </c>
      <c r="S72" s="3">
        <v>0</v>
      </c>
      <c r="T72" s="3">
        <v>16098851242.046982</v>
      </c>
      <c r="U72" s="3">
        <v>0</v>
      </c>
      <c r="V72" s="3">
        <v>2080000</v>
      </c>
      <c r="W72" s="3">
        <v>76400000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spans="1:31" x14ac:dyDescent="0.3">
      <c r="A73" s="2" t="s">
        <v>151</v>
      </c>
      <c r="B73" s="3">
        <v>21100000</v>
      </c>
      <c r="C73" s="3">
        <v>455000</v>
      </c>
      <c r="D73" s="3">
        <v>2841296898.3612652</v>
      </c>
      <c r="E73" s="3">
        <v>8865</v>
      </c>
      <c r="F73" s="3">
        <v>2850000</v>
      </c>
      <c r="G73" s="3">
        <v>0</v>
      </c>
      <c r="H73" s="3">
        <v>0</v>
      </c>
      <c r="I73" s="3">
        <v>0</v>
      </c>
      <c r="J73" s="3">
        <v>0</v>
      </c>
      <c r="K73" s="3">
        <v>218000</v>
      </c>
      <c r="L73" s="3">
        <v>1000000</v>
      </c>
      <c r="M73" s="3">
        <v>0</v>
      </c>
      <c r="N73" s="3">
        <v>0</v>
      </c>
      <c r="O73" s="3">
        <v>0</v>
      </c>
      <c r="P73" s="3">
        <v>42972905.302802972</v>
      </c>
      <c r="Q73" s="3">
        <v>133823369.29331169</v>
      </c>
      <c r="R73" s="3">
        <v>0</v>
      </c>
      <c r="S73" s="3">
        <v>0</v>
      </c>
      <c r="T73" s="3">
        <v>12413126669.088936</v>
      </c>
      <c r="U73" s="3">
        <v>0</v>
      </c>
      <c r="V73" s="3">
        <v>0</v>
      </c>
      <c r="W73" s="3">
        <v>0</v>
      </c>
      <c r="X73" s="3">
        <v>0</v>
      </c>
      <c r="Y73" s="3">
        <v>1110000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1:31" x14ac:dyDescent="0.3">
      <c r="A74" s="2" t="s">
        <v>151</v>
      </c>
      <c r="B74" s="3">
        <v>89500</v>
      </c>
      <c r="C74" s="3">
        <v>350</v>
      </c>
      <c r="D74" s="3">
        <v>2298829.3981067841</v>
      </c>
      <c r="E74" s="3">
        <v>0</v>
      </c>
      <c r="F74" s="3">
        <v>43300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32109013.29620342</v>
      </c>
      <c r="R74" s="3">
        <v>0</v>
      </c>
      <c r="S74" s="3">
        <v>0</v>
      </c>
      <c r="T74" s="3">
        <v>7322381226.9210052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1:31" x14ac:dyDescent="0.3">
      <c r="A75" s="2" t="s">
        <v>146</v>
      </c>
      <c r="B75" s="3">
        <v>160000</v>
      </c>
      <c r="C75" s="3">
        <v>225000</v>
      </c>
      <c r="D75" s="3">
        <v>1593697946.0195229</v>
      </c>
      <c r="E75" s="3">
        <v>31200</v>
      </c>
      <c r="F75" s="3">
        <v>140000</v>
      </c>
      <c r="G75" s="3">
        <v>449.99999999999989</v>
      </c>
      <c r="H75" s="3">
        <v>10</v>
      </c>
      <c r="I75" s="3">
        <v>0</v>
      </c>
      <c r="J75" s="3">
        <v>20</v>
      </c>
      <c r="K75" s="3">
        <v>17500</v>
      </c>
      <c r="L75" s="3">
        <v>107000</v>
      </c>
      <c r="M75" s="3">
        <v>19400000</v>
      </c>
      <c r="N75" s="3">
        <v>0</v>
      </c>
      <c r="O75" s="3">
        <v>0</v>
      </c>
      <c r="P75" s="3">
        <v>0</v>
      </c>
      <c r="Q75" s="3">
        <v>23398173.661399052</v>
      </c>
      <c r="R75" s="3">
        <v>0</v>
      </c>
      <c r="S75" s="3">
        <v>277.12812921102039</v>
      </c>
      <c r="T75" s="3">
        <v>496375973.38650107</v>
      </c>
      <c r="U75" s="3">
        <v>12323887.048398403</v>
      </c>
      <c r="V75" s="3">
        <v>282000</v>
      </c>
      <c r="W75" s="3">
        <v>0</v>
      </c>
      <c r="X75" s="3">
        <v>0</v>
      </c>
      <c r="Y75" s="3">
        <v>0</v>
      </c>
      <c r="Z75" s="3">
        <v>250</v>
      </c>
      <c r="AA75" s="3">
        <v>620</v>
      </c>
      <c r="AB75" s="3">
        <v>0</v>
      </c>
      <c r="AC75" s="3">
        <v>220</v>
      </c>
      <c r="AD75" s="3">
        <v>0</v>
      </c>
      <c r="AE75" s="3">
        <v>206800</v>
      </c>
    </row>
    <row r="76" spans="1:31" x14ac:dyDescent="0.3">
      <c r="A76" s="2" t="s">
        <v>151</v>
      </c>
      <c r="B76" s="3">
        <v>3000</v>
      </c>
      <c r="C76" s="3">
        <v>8500</v>
      </c>
      <c r="D76" s="3">
        <v>14592688.72519386</v>
      </c>
      <c r="E76" s="3">
        <v>0</v>
      </c>
      <c r="F76" s="3">
        <v>250</v>
      </c>
      <c r="G76" s="3">
        <v>0</v>
      </c>
      <c r="H76" s="3">
        <v>0</v>
      </c>
      <c r="I76" s="3">
        <v>0</v>
      </c>
      <c r="J76" s="3">
        <v>0</v>
      </c>
      <c r="K76" s="3">
        <v>100</v>
      </c>
      <c r="L76" s="3">
        <v>500</v>
      </c>
      <c r="M76" s="3">
        <v>0</v>
      </c>
      <c r="N76" s="3">
        <v>0</v>
      </c>
      <c r="O76" s="3">
        <v>0</v>
      </c>
      <c r="P76" s="3">
        <v>0</v>
      </c>
      <c r="Q76" s="3">
        <v>52457423.986192867</v>
      </c>
      <c r="R76" s="3">
        <v>111686544.73525316</v>
      </c>
      <c r="S76" s="3">
        <v>0</v>
      </c>
      <c r="T76" s="3">
        <v>3870289382.4588118</v>
      </c>
      <c r="U76" s="3">
        <v>0</v>
      </c>
      <c r="V76" s="3">
        <v>1710000</v>
      </c>
      <c r="W76" s="3">
        <v>56600000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</row>
    <row r="77" spans="1:31" x14ac:dyDescent="0.3">
      <c r="A77" s="2" t="s">
        <v>151</v>
      </c>
      <c r="B77" s="3">
        <v>140000</v>
      </c>
      <c r="C77" s="3">
        <v>315000</v>
      </c>
      <c r="D77" s="3">
        <v>12377256855.546122</v>
      </c>
      <c r="E77" s="3">
        <v>1475</v>
      </c>
      <c r="F77" s="3">
        <v>1565000</v>
      </c>
      <c r="G77" s="3">
        <v>520</v>
      </c>
      <c r="H77" s="3">
        <v>0</v>
      </c>
      <c r="I77" s="3">
        <v>0</v>
      </c>
      <c r="J77" s="3">
        <v>0</v>
      </c>
      <c r="K77" s="3">
        <v>16000</v>
      </c>
      <c r="L77" s="3">
        <v>90500</v>
      </c>
      <c r="M77" s="3">
        <v>0</v>
      </c>
      <c r="N77" s="3">
        <v>0</v>
      </c>
      <c r="O77" s="3">
        <v>0</v>
      </c>
      <c r="P77" s="3">
        <v>97453479.349524125</v>
      </c>
      <c r="Q77" s="3">
        <v>203637126.43273121</v>
      </c>
      <c r="R77" s="3">
        <v>0</v>
      </c>
      <c r="S77" s="3">
        <v>0</v>
      </c>
      <c r="T77" s="3">
        <v>27941024000</v>
      </c>
      <c r="U77" s="3">
        <v>0</v>
      </c>
      <c r="V77" s="3">
        <v>0</v>
      </c>
      <c r="W77" s="3">
        <v>0</v>
      </c>
      <c r="X77" s="3">
        <v>0</v>
      </c>
      <c r="Y77" s="3">
        <v>2660000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8" spans="1:31" x14ac:dyDescent="0.3">
      <c r="A78" s="2" t="s">
        <v>151</v>
      </c>
      <c r="B78" s="3">
        <v>6000</v>
      </c>
      <c r="C78" s="3">
        <v>21500</v>
      </c>
      <c r="D78" s="3">
        <v>8108408.5146223363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15</v>
      </c>
      <c r="L78" s="3">
        <v>15</v>
      </c>
      <c r="M78" s="3">
        <v>0</v>
      </c>
      <c r="N78" s="3">
        <v>0</v>
      </c>
      <c r="O78" s="3">
        <v>0</v>
      </c>
      <c r="P78" s="3">
        <v>0</v>
      </c>
      <c r="Q78" s="3">
        <v>60858600.339329556</v>
      </c>
      <c r="R78" s="3">
        <v>0</v>
      </c>
      <c r="S78" s="3">
        <v>0</v>
      </c>
      <c r="T78" s="3">
        <v>3506150045.8067961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</row>
    <row r="79" spans="1:31" x14ac:dyDescent="0.3">
      <c r="A79" s="2" t="s">
        <v>146</v>
      </c>
      <c r="B79" s="3">
        <v>950000</v>
      </c>
      <c r="C79" s="3">
        <v>47000</v>
      </c>
      <c r="D79" s="3">
        <v>944901388.74826169</v>
      </c>
      <c r="E79" s="3">
        <v>29000</v>
      </c>
      <c r="F79" s="3">
        <v>320000</v>
      </c>
      <c r="G79" s="3">
        <v>313.63636363636363</v>
      </c>
      <c r="H79" s="3">
        <v>0</v>
      </c>
      <c r="I79" s="3">
        <v>0</v>
      </c>
      <c r="J79" s="3">
        <v>0</v>
      </c>
      <c r="K79" s="3">
        <v>30000</v>
      </c>
      <c r="L79" s="3">
        <v>215000</v>
      </c>
      <c r="M79" s="3">
        <v>6850000</v>
      </c>
      <c r="N79" s="3">
        <v>0</v>
      </c>
      <c r="O79" s="3">
        <v>0</v>
      </c>
      <c r="P79" s="3">
        <v>0</v>
      </c>
      <c r="Q79" s="3">
        <v>5988622.8076690082</v>
      </c>
      <c r="R79" s="3">
        <v>0</v>
      </c>
      <c r="S79" s="3">
        <v>0</v>
      </c>
      <c r="T79" s="3">
        <v>683028572.58815408</v>
      </c>
      <c r="U79" s="3">
        <v>10151435.001491334</v>
      </c>
      <c r="V79" s="3">
        <v>372000</v>
      </c>
      <c r="W79" s="3">
        <v>0</v>
      </c>
      <c r="X79" s="3">
        <v>0</v>
      </c>
      <c r="Y79" s="3">
        <v>0</v>
      </c>
      <c r="Z79" s="3">
        <v>420</v>
      </c>
      <c r="AA79" s="3">
        <v>770</v>
      </c>
      <c r="AB79" s="3">
        <v>0</v>
      </c>
      <c r="AC79" s="3">
        <v>270</v>
      </c>
      <c r="AD79" s="3">
        <v>38500</v>
      </c>
      <c r="AE79" s="3">
        <v>22800</v>
      </c>
    </row>
    <row r="80" spans="1:31" x14ac:dyDescent="0.3">
      <c r="A80" s="2" t="s">
        <v>151</v>
      </c>
      <c r="B80" s="3">
        <v>685000</v>
      </c>
      <c r="C80" s="3">
        <v>4000000</v>
      </c>
      <c r="D80" s="3">
        <v>127351917.41450933</v>
      </c>
      <c r="E80" s="3">
        <v>667</v>
      </c>
      <c r="F80" s="3">
        <v>25000</v>
      </c>
      <c r="G80" s="3">
        <v>0</v>
      </c>
      <c r="H80" s="3">
        <v>0</v>
      </c>
      <c r="I80" s="3">
        <v>0</v>
      </c>
      <c r="J80" s="3">
        <v>0</v>
      </c>
      <c r="K80" s="3">
        <v>4600</v>
      </c>
      <c r="L80" s="3">
        <v>18600</v>
      </c>
      <c r="M80" s="3">
        <v>19000000</v>
      </c>
      <c r="N80" s="3">
        <v>0</v>
      </c>
      <c r="O80" s="3">
        <v>0</v>
      </c>
      <c r="P80" s="3">
        <v>0</v>
      </c>
      <c r="Q80" s="3">
        <v>127084317.22879848</v>
      </c>
      <c r="R80" s="3">
        <v>0</v>
      </c>
      <c r="S80" s="3">
        <v>534216997.22974443</v>
      </c>
      <c r="T80" s="3">
        <v>14000116950.823437</v>
      </c>
      <c r="U80" s="3">
        <v>0</v>
      </c>
      <c r="V80" s="3">
        <v>84400</v>
      </c>
      <c r="W80" s="3">
        <v>0</v>
      </c>
      <c r="X80" s="3">
        <v>4300000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</row>
    <row r="81" spans="1:31" x14ac:dyDescent="0.3">
      <c r="A81" s="2" t="s">
        <v>151</v>
      </c>
      <c r="B81" s="3">
        <v>1430000</v>
      </c>
      <c r="C81" s="3">
        <v>135000</v>
      </c>
      <c r="D81" s="3">
        <v>10947920</v>
      </c>
      <c r="E81" s="3">
        <v>20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205000</v>
      </c>
      <c r="L81" s="3">
        <v>1390000</v>
      </c>
      <c r="M81" s="3">
        <v>0</v>
      </c>
      <c r="N81" s="3">
        <v>0</v>
      </c>
      <c r="O81" s="3">
        <v>0</v>
      </c>
      <c r="P81" s="3">
        <v>0</v>
      </c>
      <c r="Q81" s="3">
        <v>150321797.39880699</v>
      </c>
      <c r="R81" s="3">
        <v>358645477.73387134</v>
      </c>
      <c r="S81" s="3">
        <v>0</v>
      </c>
      <c r="T81" s="3">
        <v>13626282240</v>
      </c>
      <c r="U81" s="3">
        <v>0</v>
      </c>
      <c r="V81" s="3">
        <v>682000</v>
      </c>
      <c r="W81" s="3">
        <v>13200000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1:31" x14ac:dyDescent="0.3">
      <c r="A82" s="2" t="s">
        <v>151</v>
      </c>
      <c r="B82" s="3">
        <v>17750000</v>
      </c>
      <c r="C82" s="3">
        <v>1000000</v>
      </c>
      <c r="D82" s="3">
        <v>8282963118.5680065</v>
      </c>
      <c r="E82" s="3">
        <v>105</v>
      </c>
      <c r="F82" s="3">
        <v>71500000</v>
      </c>
      <c r="G82" s="3">
        <v>0</v>
      </c>
      <c r="H82" s="3">
        <v>0</v>
      </c>
      <c r="I82" s="3">
        <v>0</v>
      </c>
      <c r="J82" s="3">
        <v>0</v>
      </c>
      <c r="K82" s="3">
        <v>180000</v>
      </c>
      <c r="L82" s="3">
        <v>2890000</v>
      </c>
      <c r="M82" s="3">
        <v>0</v>
      </c>
      <c r="N82" s="3">
        <v>0</v>
      </c>
      <c r="O82" s="3">
        <v>0</v>
      </c>
      <c r="P82" s="3">
        <v>68398151.57199946</v>
      </c>
      <c r="Q82" s="3">
        <v>354884441.61349022</v>
      </c>
      <c r="R82" s="3">
        <v>0</v>
      </c>
      <c r="S82" s="3">
        <v>0</v>
      </c>
      <c r="T82" s="3">
        <v>27249837932.417366</v>
      </c>
      <c r="U82" s="3">
        <v>0</v>
      </c>
      <c r="V82" s="3">
        <v>176000</v>
      </c>
      <c r="W82" s="3">
        <v>0</v>
      </c>
      <c r="X82" s="3">
        <v>0</v>
      </c>
      <c r="Y82" s="3">
        <v>2040000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</row>
    <row r="83" spans="1:31" x14ac:dyDescent="0.3">
      <c r="A83" s="2" t="s">
        <v>151</v>
      </c>
      <c r="B83" s="3">
        <v>370000</v>
      </c>
      <c r="C83" s="3">
        <v>33000</v>
      </c>
      <c r="D83" s="3">
        <v>9867502.6488367356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7900</v>
      </c>
      <c r="L83" s="3">
        <v>10000</v>
      </c>
      <c r="M83" s="3">
        <v>0</v>
      </c>
      <c r="N83" s="3">
        <v>0</v>
      </c>
      <c r="O83" s="3">
        <v>0</v>
      </c>
      <c r="P83" s="3">
        <v>0</v>
      </c>
      <c r="Q83" s="3">
        <v>37492720.990923166</v>
      </c>
      <c r="R83" s="3">
        <v>0</v>
      </c>
      <c r="S83" s="3">
        <v>0</v>
      </c>
      <c r="T83" s="3">
        <v>11718849303.231459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1:31" x14ac:dyDescent="0.3">
      <c r="A84" s="2" t="s">
        <v>146</v>
      </c>
      <c r="B84" s="3">
        <v>1470000</v>
      </c>
      <c r="C84" s="3">
        <v>325000</v>
      </c>
      <c r="D84" s="3">
        <v>129176511.33198172</v>
      </c>
      <c r="E84" s="3">
        <v>6042</v>
      </c>
      <c r="F84" s="3">
        <v>444000</v>
      </c>
      <c r="G84" s="3">
        <v>7513.6363636363631</v>
      </c>
      <c r="H84" s="3">
        <v>0</v>
      </c>
      <c r="I84" s="3">
        <v>0</v>
      </c>
      <c r="J84" s="3">
        <v>130</v>
      </c>
      <c r="K84" s="3">
        <v>285000</v>
      </c>
      <c r="L84" s="3">
        <v>690000</v>
      </c>
      <c r="M84" s="3">
        <v>254515.338230514</v>
      </c>
      <c r="N84" s="3">
        <v>12985.657976158454</v>
      </c>
      <c r="O84" s="3">
        <v>0</v>
      </c>
      <c r="P84" s="3">
        <v>0</v>
      </c>
      <c r="Q84" s="3">
        <v>6027427.0107815228</v>
      </c>
      <c r="R84" s="3">
        <v>0</v>
      </c>
      <c r="S84" s="3">
        <v>0</v>
      </c>
      <c r="T84" s="3">
        <v>1681911309.7253287</v>
      </c>
      <c r="U84" s="3">
        <v>2214253.8065314195</v>
      </c>
      <c r="V84" s="3">
        <v>342000</v>
      </c>
      <c r="W84" s="3">
        <v>0</v>
      </c>
      <c r="X84" s="3">
        <v>0</v>
      </c>
      <c r="Y84" s="3">
        <v>0</v>
      </c>
      <c r="Z84" s="3">
        <v>290</v>
      </c>
      <c r="AA84" s="3">
        <v>1000</v>
      </c>
      <c r="AB84" s="3">
        <v>0</v>
      </c>
      <c r="AC84" s="3">
        <v>6200</v>
      </c>
      <c r="AD84" s="3">
        <v>132000</v>
      </c>
      <c r="AE84" s="3">
        <v>0</v>
      </c>
    </row>
    <row r="85" spans="1:31" x14ac:dyDescent="0.3">
      <c r="A85" s="2" t="s">
        <v>151</v>
      </c>
      <c r="B85" s="3">
        <v>2087500</v>
      </c>
      <c r="C85" s="3">
        <v>8000000</v>
      </c>
      <c r="D85" s="3">
        <v>26435349.719464652</v>
      </c>
      <c r="E85" s="3">
        <v>375000</v>
      </c>
      <c r="F85" s="3">
        <v>650</v>
      </c>
      <c r="G85" s="3">
        <v>0</v>
      </c>
      <c r="H85" s="3">
        <v>0</v>
      </c>
      <c r="I85" s="3">
        <v>0</v>
      </c>
      <c r="J85" s="3">
        <v>0</v>
      </c>
      <c r="K85" s="3">
        <v>6500</v>
      </c>
      <c r="L85" s="3">
        <v>5450000</v>
      </c>
      <c r="M85" s="3">
        <v>3485250.1935263346</v>
      </c>
      <c r="N85" s="3">
        <v>0</v>
      </c>
      <c r="O85" s="3">
        <v>0</v>
      </c>
      <c r="P85" s="3">
        <v>0</v>
      </c>
      <c r="Q85" s="3">
        <v>63673241.550043337</v>
      </c>
      <c r="R85" s="3">
        <v>0</v>
      </c>
      <c r="S85" s="3">
        <v>1391610311.2947562</v>
      </c>
      <c r="T85" s="3">
        <v>8166251919.447957</v>
      </c>
      <c r="U85" s="3">
        <v>0</v>
      </c>
      <c r="V85" s="3">
        <v>0</v>
      </c>
      <c r="W85" s="3">
        <v>0</v>
      </c>
      <c r="X85" s="3">
        <v>5360000</v>
      </c>
      <c r="Y85" s="3">
        <v>544000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6000</v>
      </c>
    </row>
    <row r="86" spans="1:31" x14ac:dyDescent="0.3">
      <c r="A86" s="2" t="s">
        <v>151</v>
      </c>
      <c r="B86" s="3">
        <v>975000</v>
      </c>
      <c r="C86" s="3">
        <v>6700000</v>
      </c>
      <c r="D86" s="3">
        <v>46687054.254437603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900000</v>
      </c>
      <c r="L86" s="3">
        <v>1120000</v>
      </c>
      <c r="M86" s="3">
        <v>0</v>
      </c>
      <c r="N86" s="3">
        <v>12483430.852405544</v>
      </c>
      <c r="O86" s="3">
        <v>0</v>
      </c>
      <c r="P86" s="3">
        <v>0</v>
      </c>
      <c r="Q86" s="3">
        <v>29906938.66119764</v>
      </c>
      <c r="R86" s="3">
        <v>520549609.31630719</v>
      </c>
      <c r="S86" s="3">
        <v>0</v>
      </c>
      <c r="T86" s="3">
        <v>14706824029.981653</v>
      </c>
      <c r="U86" s="3">
        <v>0</v>
      </c>
      <c r="V86" s="3">
        <v>0</v>
      </c>
      <c r="W86" s="3">
        <v>12200000</v>
      </c>
      <c r="X86" s="3">
        <v>0</v>
      </c>
      <c r="Y86" s="3">
        <v>0</v>
      </c>
      <c r="Z86" s="3">
        <v>0</v>
      </c>
      <c r="AA86" s="3">
        <v>55</v>
      </c>
      <c r="AB86" s="3">
        <v>0</v>
      </c>
      <c r="AC86" s="3">
        <v>0</v>
      </c>
      <c r="AD86" s="3">
        <v>0</v>
      </c>
      <c r="AE86" s="3">
        <v>23600</v>
      </c>
    </row>
    <row r="87" spans="1:31" x14ac:dyDescent="0.3">
      <c r="A87" s="2" t="s">
        <v>151</v>
      </c>
      <c r="B87" s="3">
        <v>140000000</v>
      </c>
      <c r="C87" s="3">
        <v>8550000</v>
      </c>
      <c r="D87" s="3">
        <v>2519423141.9865026</v>
      </c>
      <c r="E87" s="3">
        <v>250</v>
      </c>
      <c r="F87" s="3">
        <v>84200000</v>
      </c>
      <c r="G87" s="3">
        <v>0</v>
      </c>
      <c r="H87" s="3">
        <v>0</v>
      </c>
      <c r="I87" s="3">
        <v>0</v>
      </c>
      <c r="J87" s="3">
        <v>0</v>
      </c>
      <c r="K87" s="3">
        <v>12500</v>
      </c>
      <c r="L87" s="3">
        <v>22400000</v>
      </c>
      <c r="M87" s="3">
        <v>0</v>
      </c>
      <c r="N87" s="3">
        <v>2584538.2266245186</v>
      </c>
      <c r="O87" s="3">
        <v>0</v>
      </c>
      <c r="P87" s="3">
        <v>95248240.10333322</v>
      </c>
      <c r="Q87" s="3">
        <v>62856031.819023162</v>
      </c>
      <c r="R87" s="3">
        <v>0</v>
      </c>
      <c r="S87" s="3">
        <v>0</v>
      </c>
      <c r="T87" s="3">
        <v>549552409.73344851</v>
      </c>
      <c r="U87" s="3">
        <v>0</v>
      </c>
      <c r="V87" s="3">
        <v>0</v>
      </c>
      <c r="W87" s="3">
        <v>0</v>
      </c>
      <c r="X87" s="3">
        <v>0</v>
      </c>
      <c r="Y87" s="3">
        <v>1560000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1:31" x14ac:dyDescent="0.3">
      <c r="A88" s="2" t="s">
        <v>151</v>
      </c>
      <c r="B88" s="3">
        <v>1640000</v>
      </c>
      <c r="C88" s="3">
        <v>710000</v>
      </c>
      <c r="D88" s="3">
        <v>18999144.892252389</v>
      </c>
      <c r="E88" s="3">
        <v>0</v>
      </c>
      <c r="F88" s="3">
        <v>2500</v>
      </c>
      <c r="G88" s="3">
        <v>0</v>
      </c>
      <c r="H88" s="3">
        <v>0</v>
      </c>
      <c r="I88" s="3">
        <v>0</v>
      </c>
      <c r="J88" s="3">
        <v>0</v>
      </c>
      <c r="K88" s="3">
        <v>72500</v>
      </c>
      <c r="L88" s="3">
        <v>247500</v>
      </c>
      <c r="M88" s="3">
        <v>0</v>
      </c>
      <c r="N88" s="3">
        <v>0</v>
      </c>
      <c r="O88" s="3">
        <v>0</v>
      </c>
      <c r="P88" s="3">
        <v>0</v>
      </c>
      <c r="Q88" s="3">
        <v>19152565.664255861</v>
      </c>
      <c r="R88" s="3">
        <v>0</v>
      </c>
      <c r="S88" s="3">
        <v>0</v>
      </c>
      <c r="T88" s="3">
        <v>5029819139.0030365</v>
      </c>
      <c r="U88" s="3">
        <v>1647.1784826180797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1:31" x14ac:dyDescent="0.3">
      <c r="A89" s="2" t="s">
        <v>146</v>
      </c>
      <c r="B89" s="3">
        <v>455000</v>
      </c>
      <c r="C89" s="3">
        <v>44100</v>
      </c>
      <c r="D89" s="3">
        <v>373761956.84400165</v>
      </c>
      <c r="E89" s="3">
        <v>4410</v>
      </c>
      <c r="F89" s="3">
        <v>65000</v>
      </c>
      <c r="G89" s="3">
        <v>125</v>
      </c>
      <c r="H89" s="3">
        <v>10</v>
      </c>
      <c r="I89" s="3">
        <v>0</v>
      </c>
      <c r="J89" s="3">
        <v>70</v>
      </c>
      <c r="K89" s="3">
        <v>3400000</v>
      </c>
      <c r="L89" s="3">
        <v>11200000</v>
      </c>
      <c r="M89" s="3">
        <v>2895000</v>
      </c>
      <c r="N89" s="3">
        <v>0</v>
      </c>
      <c r="O89" s="3">
        <v>0</v>
      </c>
      <c r="P89" s="3">
        <v>0</v>
      </c>
      <c r="Q89" s="3">
        <v>16087625.948856343</v>
      </c>
      <c r="R89" s="3">
        <v>8264.4298048927722</v>
      </c>
      <c r="S89" s="3">
        <v>0</v>
      </c>
      <c r="T89" s="3">
        <v>1926411736.2628291</v>
      </c>
      <c r="U89" s="3">
        <v>32801226.984795105</v>
      </c>
      <c r="V89" s="3">
        <v>180000</v>
      </c>
      <c r="W89" s="3">
        <v>0</v>
      </c>
      <c r="X89" s="3">
        <v>0</v>
      </c>
      <c r="Y89" s="3">
        <v>0</v>
      </c>
      <c r="Z89" s="3">
        <v>290</v>
      </c>
      <c r="AA89" s="3">
        <v>0</v>
      </c>
      <c r="AB89" s="3">
        <v>0</v>
      </c>
      <c r="AC89" s="3">
        <v>220</v>
      </c>
      <c r="AD89" s="3">
        <v>159000</v>
      </c>
      <c r="AE89" s="3">
        <v>48000</v>
      </c>
    </row>
    <row r="90" spans="1:31" x14ac:dyDescent="0.3">
      <c r="A90" s="2" t="s">
        <v>151</v>
      </c>
      <c r="B90" s="3">
        <v>964000</v>
      </c>
      <c r="C90" s="3">
        <v>35900</v>
      </c>
      <c r="D90" s="3">
        <v>1365246168.3052144</v>
      </c>
      <c r="E90" s="3">
        <v>0</v>
      </c>
      <c r="F90" s="3">
        <v>827000</v>
      </c>
      <c r="G90" s="3">
        <v>0</v>
      </c>
      <c r="H90" s="3">
        <v>0</v>
      </c>
      <c r="I90" s="3">
        <v>10</v>
      </c>
      <c r="J90" s="3">
        <v>0</v>
      </c>
      <c r="K90" s="3">
        <v>0</v>
      </c>
      <c r="L90" s="3">
        <v>109000000</v>
      </c>
      <c r="M90" s="3">
        <v>0</v>
      </c>
      <c r="N90" s="3">
        <v>0</v>
      </c>
      <c r="O90" s="3">
        <v>0</v>
      </c>
      <c r="P90" s="3">
        <v>0</v>
      </c>
      <c r="Q90" s="3">
        <v>122253685.38958994</v>
      </c>
      <c r="R90" s="3">
        <v>0</v>
      </c>
      <c r="S90" s="3">
        <v>37252827177.348877</v>
      </c>
      <c r="T90" s="3">
        <v>26228884752.897964</v>
      </c>
      <c r="U90" s="3">
        <v>0</v>
      </c>
      <c r="V90" s="3">
        <v>51800</v>
      </c>
      <c r="W90" s="3">
        <v>0</v>
      </c>
      <c r="X90" s="3">
        <v>5420000</v>
      </c>
      <c r="Y90" s="3">
        <v>0</v>
      </c>
      <c r="Z90" s="3">
        <v>0</v>
      </c>
      <c r="AA90" s="3">
        <v>0</v>
      </c>
      <c r="AB90" s="3">
        <v>0</v>
      </c>
      <c r="AC90" s="3">
        <v>180</v>
      </c>
      <c r="AD90" s="3">
        <v>0</v>
      </c>
      <c r="AE90" s="3">
        <v>69200</v>
      </c>
    </row>
    <row r="91" spans="1:31" x14ac:dyDescent="0.3">
      <c r="A91" s="2" t="s">
        <v>151</v>
      </c>
      <c r="B91" s="3">
        <v>450000</v>
      </c>
      <c r="C91" s="3">
        <v>270000</v>
      </c>
      <c r="D91" s="3">
        <v>13755939.248041399</v>
      </c>
      <c r="E91" s="3">
        <v>1100</v>
      </c>
      <c r="F91" s="3">
        <v>2910</v>
      </c>
      <c r="G91" s="3">
        <v>0</v>
      </c>
      <c r="H91" s="3">
        <v>0</v>
      </c>
      <c r="I91" s="3">
        <v>0</v>
      </c>
      <c r="J91" s="3">
        <v>0</v>
      </c>
      <c r="K91" s="3">
        <v>2950000</v>
      </c>
      <c r="L91" s="3">
        <v>28500000</v>
      </c>
      <c r="M91" s="3">
        <v>0</v>
      </c>
      <c r="N91" s="3">
        <v>0</v>
      </c>
      <c r="O91" s="3">
        <v>0</v>
      </c>
      <c r="P91" s="3">
        <v>0</v>
      </c>
      <c r="Q91" s="3">
        <v>12424873.047760226</v>
      </c>
      <c r="R91" s="3">
        <v>44273985.912235193</v>
      </c>
      <c r="S91" s="3">
        <v>0</v>
      </c>
      <c r="T91" s="3">
        <v>735556798.48872685</v>
      </c>
      <c r="U91" s="3">
        <v>236.08405282864828</v>
      </c>
      <c r="V91" s="3">
        <v>0</v>
      </c>
      <c r="W91" s="3">
        <v>177000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1:31" x14ac:dyDescent="0.3">
      <c r="A92" s="2" t="s">
        <v>151</v>
      </c>
      <c r="B92" s="3">
        <v>20000</v>
      </c>
      <c r="C92" s="3">
        <v>4640</v>
      </c>
      <c r="D92" s="3">
        <v>14683220.791039795</v>
      </c>
      <c r="E92" s="3">
        <v>0</v>
      </c>
      <c r="F92" s="3">
        <v>90</v>
      </c>
      <c r="G92" s="3">
        <v>0</v>
      </c>
      <c r="H92" s="3">
        <v>0</v>
      </c>
      <c r="I92" s="3">
        <v>0</v>
      </c>
      <c r="J92" s="3">
        <v>0</v>
      </c>
      <c r="K92" s="3">
        <v>2270</v>
      </c>
      <c r="L92" s="3">
        <v>24500</v>
      </c>
      <c r="M92" s="3">
        <v>0</v>
      </c>
      <c r="N92" s="3">
        <v>0</v>
      </c>
      <c r="O92" s="3">
        <v>0</v>
      </c>
      <c r="P92" s="3">
        <v>1382575.0817648636</v>
      </c>
      <c r="Q92" s="3">
        <v>4198092.07920908</v>
      </c>
      <c r="R92" s="3">
        <v>0</v>
      </c>
      <c r="S92" s="3">
        <v>0</v>
      </c>
      <c r="T92" s="3">
        <v>677572508.35555899</v>
      </c>
      <c r="U92" s="3">
        <v>0</v>
      </c>
      <c r="V92" s="3">
        <v>0</v>
      </c>
      <c r="W92" s="3">
        <v>0</v>
      </c>
      <c r="X92" s="3">
        <v>0</v>
      </c>
      <c r="Y92" s="3">
        <v>1910000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1:31" x14ac:dyDescent="0.3">
      <c r="A93" s="2" t="s">
        <v>146</v>
      </c>
      <c r="B93" s="3">
        <v>659090</v>
      </c>
      <c r="C93" s="3">
        <v>65454</v>
      </c>
      <c r="D93" s="3">
        <v>434539368.92138553</v>
      </c>
      <c r="E93" s="3">
        <v>8136</v>
      </c>
      <c r="F93" s="3">
        <v>47272</v>
      </c>
      <c r="G93" s="3">
        <v>10</v>
      </c>
      <c r="H93" s="3">
        <v>0</v>
      </c>
      <c r="I93" s="3">
        <v>0</v>
      </c>
      <c r="J93" s="3">
        <v>0</v>
      </c>
      <c r="K93" s="3">
        <v>1523809.5238095238</v>
      </c>
      <c r="L93" s="3">
        <v>3761904.7619047612</v>
      </c>
      <c r="M93" s="3">
        <v>6650000</v>
      </c>
      <c r="N93" s="3">
        <v>0</v>
      </c>
      <c r="O93" s="3">
        <v>0</v>
      </c>
      <c r="P93" s="3">
        <v>0</v>
      </c>
      <c r="Q93" s="3">
        <v>26797048.358173355</v>
      </c>
      <c r="R93" s="3">
        <v>113.13708498984759</v>
      </c>
      <c r="S93" s="3">
        <v>0</v>
      </c>
      <c r="T93" s="3">
        <v>5247822785.8872395</v>
      </c>
      <c r="U93" s="3">
        <v>20731583.157877326</v>
      </c>
      <c r="V93" s="3">
        <v>81400</v>
      </c>
      <c r="W93" s="3">
        <v>0</v>
      </c>
      <c r="X93" s="3">
        <v>0</v>
      </c>
      <c r="Y93" s="3">
        <v>0</v>
      </c>
      <c r="Z93" s="3">
        <v>230</v>
      </c>
      <c r="AA93" s="3">
        <v>0</v>
      </c>
      <c r="AB93" s="3">
        <v>0</v>
      </c>
      <c r="AC93" s="3">
        <v>84</v>
      </c>
      <c r="AD93" s="3">
        <v>0</v>
      </c>
      <c r="AE93" s="3">
        <v>204400</v>
      </c>
    </row>
    <row r="94" spans="1:31" x14ac:dyDescent="0.3">
      <c r="A94" s="2" t="s">
        <v>151</v>
      </c>
      <c r="B94" s="3">
        <v>167272</v>
      </c>
      <c r="C94" s="3">
        <v>83000</v>
      </c>
      <c r="D94" s="3">
        <v>92204810.370921522</v>
      </c>
      <c r="E94" s="3">
        <v>0</v>
      </c>
      <c r="F94" s="3">
        <v>100</v>
      </c>
      <c r="G94" s="3">
        <v>0</v>
      </c>
      <c r="H94" s="3">
        <v>0</v>
      </c>
      <c r="I94" s="3">
        <v>0</v>
      </c>
      <c r="J94" s="3">
        <v>0</v>
      </c>
      <c r="K94" s="3">
        <v>14545.454545454544</v>
      </c>
      <c r="L94" s="3">
        <v>79545.454545454515</v>
      </c>
      <c r="M94" s="3">
        <v>0</v>
      </c>
      <c r="N94" s="3">
        <v>0</v>
      </c>
      <c r="O94" s="3">
        <v>0</v>
      </c>
      <c r="P94" s="3">
        <v>0</v>
      </c>
      <c r="Q94" s="3">
        <v>24322709.901823178</v>
      </c>
      <c r="R94" s="3">
        <v>148512673.54436791</v>
      </c>
      <c r="S94" s="3">
        <v>0</v>
      </c>
      <c r="T94" s="3">
        <v>2215601192.2443109</v>
      </c>
      <c r="U94" s="3">
        <v>0</v>
      </c>
      <c r="V94" s="3">
        <v>70800</v>
      </c>
      <c r="W94" s="3">
        <v>2560000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1:31" x14ac:dyDescent="0.3">
      <c r="A95" s="2" t="s">
        <v>151</v>
      </c>
      <c r="B95" s="3">
        <v>30000000</v>
      </c>
      <c r="C95" s="3">
        <v>5750000</v>
      </c>
      <c r="D95" s="3">
        <v>1748280323.3820705</v>
      </c>
      <c r="E95" s="3">
        <v>0</v>
      </c>
      <c r="F95" s="3">
        <v>1850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60000000</v>
      </c>
      <c r="M95" s="3">
        <v>0</v>
      </c>
      <c r="N95" s="3">
        <v>0</v>
      </c>
      <c r="O95" s="3">
        <v>0</v>
      </c>
      <c r="P95" s="3">
        <v>8515696.875</v>
      </c>
      <c r="Q95" s="3">
        <v>25283777.508850023</v>
      </c>
      <c r="R95" s="3">
        <v>0</v>
      </c>
      <c r="S95" s="3">
        <v>0</v>
      </c>
      <c r="T95" s="3">
        <v>1358828426.1447792</v>
      </c>
      <c r="U95" s="3">
        <v>0</v>
      </c>
      <c r="V95" s="3">
        <v>0</v>
      </c>
      <c r="W95" s="3">
        <v>0</v>
      </c>
      <c r="X95" s="3">
        <v>0</v>
      </c>
      <c r="Y95" s="3">
        <v>1690000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</row>
    <row r="96" spans="1:31" x14ac:dyDescent="0.3">
      <c r="A96" s="2" t="s">
        <v>146</v>
      </c>
      <c r="B96" s="3">
        <v>1890909</v>
      </c>
      <c r="C96" s="3">
        <v>87272</v>
      </c>
      <c r="D96" s="3">
        <v>1774908040.8795471</v>
      </c>
      <c r="E96" s="3">
        <v>7272</v>
      </c>
      <c r="F96" s="3">
        <v>76363</v>
      </c>
      <c r="G96" s="3">
        <v>3100</v>
      </c>
      <c r="H96" s="3">
        <v>0</v>
      </c>
      <c r="I96" s="3">
        <v>0</v>
      </c>
      <c r="J96" s="3">
        <v>50</v>
      </c>
      <c r="K96" s="3">
        <v>2772727.2727272725</v>
      </c>
      <c r="L96" s="3">
        <v>5954545.4545454541</v>
      </c>
      <c r="M96" s="3">
        <v>211000</v>
      </c>
      <c r="N96" s="3">
        <v>0</v>
      </c>
      <c r="O96" s="3">
        <v>0</v>
      </c>
      <c r="P96" s="3">
        <v>0</v>
      </c>
      <c r="Q96" s="3">
        <v>1836588.920262781</v>
      </c>
      <c r="R96" s="3">
        <v>120</v>
      </c>
      <c r="S96" s="3">
        <v>1526.302722267113</v>
      </c>
      <c r="T96" s="3">
        <v>3771775664.8025579</v>
      </c>
      <c r="U96" s="3">
        <v>68144788.179324999</v>
      </c>
      <c r="V96" s="3">
        <v>140000</v>
      </c>
      <c r="W96" s="3">
        <v>0</v>
      </c>
      <c r="X96" s="3">
        <v>0</v>
      </c>
      <c r="Y96" s="3">
        <v>0</v>
      </c>
      <c r="Z96" s="3">
        <v>400</v>
      </c>
      <c r="AA96" s="3">
        <v>110</v>
      </c>
      <c r="AB96" s="3">
        <v>0</v>
      </c>
      <c r="AC96" s="3">
        <v>140</v>
      </c>
      <c r="AD96" s="3">
        <v>754000</v>
      </c>
      <c r="AE96" s="3">
        <v>246000</v>
      </c>
    </row>
    <row r="97" spans="1:31" x14ac:dyDescent="0.3">
      <c r="A97" s="2" t="s">
        <v>151</v>
      </c>
      <c r="B97" s="3">
        <v>45909</v>
      </c>
      <c r="C97" s="3">
        <v>13181</v>
      </c>
      <c r="D97" s="3">
        <v>173575154.40402177</v>
      </c>
      <c r="E97" s="3">
        <v>197</v>
      </c>
      <c r="F97" s="3">
        <v>11318</v>
      </c>
      <c r="G97" s="3">
        <v>0</v>
      </c>
      <c r="H97" s="3">
        <v>0</v>
      </c>
      <c r="I97" s="3">
        <v>0</v>
      </c>
      <c r="J97" s="3">
        <v>0</v>
      </c>
      <c r="K97" s="3">
        <v>2000</v>
      </c>
      <c r="L97" s="3">
        <v>49090.909090909088</v>
      </c>
      <c r="M97" s="3">
        <v>0</v>
      </c>
      <c r="N97" s="3">
        <v>7166283.0877316203</v>
      </c>
      <c r="O97" s="3">
        <v>0</v>
      </c>
      <c r="P97" s="3">
        <v>0</v>
      </c>
      <c r="Q97" s="3">
        <v>8060406.7861816697</v>
      </c>
      <c r="R97" s="3">
        <v>115063962.44343963</v>
      </c>
      <c r="S97" s="3">
        <v>0</v>
      </c>
      <c r="T97" s="3">
        <v>1966703642.004302</v>
      </c>
      <c r="U97" s="3">
        <v>0</v>
      </c>
      <c r="V97" s="3">
        <v>114000</v>
      </c>
      <c r="W97" s="3">
        <v>1110000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1:31" x14ac:dyDescent="0.3">
      <c r="A98" s="2" t="s">
        <v>151</v>
      </c>
      <c r="B98" s="3">
        <v>740909090</v>
      </c>
      <c r="C98" s="3">
        <v>2409090</v>
      </c>
      <c r="D98" s="3">
        <v>31035079110.995617</v>
      </c>
      <c r="E98" s="3">
        <v>185454</v>
      </c>
      <c r="F98" s="3">
        <v>135454</v>
      </c>
      <c r="G98" s="3">
        <v>0</v>
      </c>
      <c r="H98" s="3">
        <v>0</v>
      </c>
      <c r="I98" s="3">
        <v>0</v>
      </c>
      <c r="J98" s="3">
        <v>0</v>
      </c>
      <c r="K98" s="3">
        <v>47727272.727272727</v>
      </c>
      <c r="L98" s="3">
        <v>195454545.45454544</v>
      </c>
      <c r="M98" s="3">
        <v>0</v>
      </c>
      <c r="N98" s="3">
        <v>0</v>
      </c>
      <c r="O98" s="3">
        <v>0</v>
      </c>
      <c r="P98" s="3">
        <v>31521.869010362101</v>
      </c>
      <c r="Q98" s="3">
        <v>358382.63640548853</v>
      </c>
      <c r="R98" s="3">
        <v>0</v>
      </c>
      <c r="S98" s="3">
        <v>0</v>
      </c>
      <c r="T98" s="3">
        <v>888786.50574814645</v>
      </c>
      <c r="U98" s="3">
        <v>0</v>
      </c>
      <c r="V98" s="3">
        <v>0</v>
      </c>
      <c r="W98" s="3">
        <v>0</v>
      </c>
      <c r="X98" s="3">
        <v>0</v>
      </c>
      <c r="Y98" s="3">
        <v>87000</v>
      </c>
      <c r="Z98" s="3">
        <v>0</v>
      </c>
      <c r="AA98" s="3">
        <v>0</v>
      </c>
      <c r="AB98" s="3">
        <v>0</v>
      </c>
      <c r="AC98" s="3">
        <v>100</v>
      </c>
      <c r="AD98" s="3">
        <v>0</v>
      </c>
      <c r="AE98" s="3">
        <v>0</v>
      </c>
    </row>
    <row r="99" spans="1:31" x14ac:dyDescent="0.3">
      <c r="A99" s="2" t="s">
        <v>146</v>
      </c>
      <c r="B99" s="3">
        <v>1000000</v>
      </c>
      <c r="C99" s="3">
        <v>80000</v>
      </c>
      <c r="D99" s="3">
        <v>157195555.99365395</v>
      </c>
      <c r="E99" s="3">
        <v>3800</v>
      </c>
      <c r="F99" s="3">
        <v>260000</v>
      </c>
      <c r="G99" s="3">
        <v>6350</v>
      </c>
      <c r="H99" s="3">
        <v>0</v>
      </c>
      <c r="I99" s="3">
        <v>10</v>
      </c>
      <c r="J99" s="3">
        <v>20</v>
      </c>
      <c r="K99" s="3">
        <v>3500000</v>
      </c>
      <c r="L99" s="3">
        <v>5300000</v>
      </c>
      <c r="M99" s="3">
        <v>3562090.588961991</v>
      </c>
      <c r="N99" s="3">
        <v>12630.250378921375</v>
      </c>
      <c r="O99" s="3">
        <v>1842052.3142283899</v>
      </c>
      <c r="P99" s="3">
        <v>0</v>
      </c>
      <c r="Q99" s="3">
        <v>55239146.539548673</v>
      </c>
      <c r="R99" s="3">
        <v>120</v>
      </c>
      <c r="S99" s="3">
        <v>452.54833995939038</v>
      </c>
      <c r="T99" s="3">
        <v>1886210582.9811254</v>
      </c>
      <c r="U99" s="3">
        <v>30463501.345509186</v>
      </c>
      <c r="V99" s="3">
        <v>462000</v>
      </c>
      <c r="W99" s="3">
        <v>0</v>
      </c>
      <c r="X99" s="3">
        <v>0</v>
      </c>
      <c r="Y99" s="3">
        <v>0</v>
      </c>
      <c r="Z99" s="3">
        <v>290</v>
      </c>
      <c r="AA99" s="3">
        <v>130</v>
      </c>
      <c r="AB99" s="3">
        <v>0</v>
      </c>
      <c r="AC99" s="3">
        <v>130</v>
      </c>
      <c r="AD99" s="3">
        <v>299600</v>
      </c>
      <c r="AE99" s="3">
        <v>36400</v>
      </c>
    </row>
    <row r="100" spans="1:31" x14ac:dyDescent="0.3">
      <c r="A100" s="2" t="s">
        <v>151</v>
      </c>
      <c r="B100" s="3">
        <v>390000000</v>
      </c>
      <c r="C100" s="3">
        <v>120000000</v>
      </c>
      <c r="D100" s="3">
        <v>339095445.44465947</v>
      </c>
      <c r="E100" s="3">
        <v>880000</v>
      </c>
      <c r="F100" s="3">
        <v>26000000</v>
      </c>
      <c r="G100" s="3">
        <v>0</v>
      </c>
      <c r="H100" s="3">
        <v>0</v>
      </c>
      <c r="I100" s="3">
        <v>0</v>
      </c>
      <c r="J100" s="3">
        <v>0</v>
      </c>
      <c r="K100" s="3">
        <v>400000000</v>
      </c>
      <c r="L100" s="3">
        <v>1400000000</v>
      </c>
      <c r="M100" s="3">
        <v>0</v>
      </c>
      <c r="N100" s="3">
        <v>0</v>
      </c>
      <c r="O100" s="3">
        <v>0</v>
      </c>
      <c r="P100" s="3">
        <v>68116442.796372309</v>
      </c>
      <c r="Q100" s="3">
        <v>180120008.99775669</v>
      </c>
      <c r="R100" s="3">
        <v>0</v>
      </c>
      <c r="S100" s="3">
        <v>0</v>
      </c>
      <c r="T100" s="3">
        <v>1290669141.9052789</v>
      </c>
      <c r="U100" s="3">
        <v>0</v>
      </c>
      <c r="V100" s="3">
        <v>0</v>
      </c>
      <c r="W100" s="3">
        <v>0</v>
      </c>
      <c r="X100" s="3">
        <v>0</v>
      </c>
      <c r="Y100" s="3">
        <v>2680000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1:31" x14ac:dyDescent="0.3">
      <c r="A101" s="2" t="s">
        <v>151</v>
      </c>
      <c r="B101" s="3">
        <v>58000</v>
      </c>
      <c r="C101" s="3">
        <v>31000</v>
      </c>
      <c r="D101" s="3">
        <v>25779096.30366433</v>
      </c>
      <c r="E101" s="3">
        <v>2700</v>
      </c>
      <c r="F101" s="3">
        <v>350</v>
      </c>
      <c r="G101" s="3">
        <v>0</v>
      </c>
      <c r="H101" s="3">
        <v>0</v>
      </c>
      <c r="I101" s="3">
        <v>0</v>
      </c>
      <c r="J101" s="3">
        <v>0</v>
      </c>
      <c r="K101" s="3">
        <v>2700</v>
      </c>
      <c r="L101" s="3">
        <v>34000</v>
      </c>
      <c r="M101" s="3">
        <v>0</v>
      </c>
      <c r="N101" s="3">
        <v>6717.8292344130314</v>
      </c>
      <c r="O101" s="3">
        <v>230782.01449455746</v>
      </c>
      <c r="P101" s="3">
        <v>0</v>
      </c>
      <c r="Q101" s="3">
        <v>14508147.4235895</v>
      </c>
      <c r="R101" s="3">
        <v>4147446.592977419</v>
      </c>
      <c r="S101" s="3">
        <v>0</v>
      </c>
      <c r="T101" s="3">
        <v>469231518.39017802</v>
      </c>
      <c r="U101" s="3">
        <v>0</v>
      </c>
      <c r="V101" s="3">
        <v>0</v>
      </c>
      <c r="W101" s="3">
        <v>238000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1:31" x14ac:dyDescent="0.3">
      <c r="A102" s="2" t="s">
        <v>151</v>
      </c>
      <c r="B102" s="3">
        <v>110000000</v>
      </c>
      <c r="C102" s="3">
        <v>11000000</v>
      </c>
      <c r="D102" s="3">
        <v>68213634.715039194</v>
      </c>
      <c r="E102" s="3">
        <v>1300</v>
      </c>
      <c r="F102" s="3">
        <v>83000000</v>
      </c>
      <c r="G102" s="3">
        <v>0</v>
      </c>
      <c r="H102" s="3">
        <v>0</v>
      </c>
      <c r="I102" s="3">
        <v>0</v>
      </c>
      <c r="J102" s="3">
        <v>0</v>
      </c>
      <c r="K102" s="3">
        <v>9100000</v>
      </c>
      <c r="L102" s="3">
        <v>19000000</v>
      </c>
      <c r="M102" s="3">
        <v>0</v>
      </c>
      <c r="N102" s="3">
        <v>2789497.3937758058</v>
      </c>
      <c r="O102" s="3">
        <v>45983.493201597856</v>
      </c>
      <c r="P102" s="3">
        <v>1417937.0807684434</v>
      </c>
      <c r="Q102" s="3">
        <v>17384089.930383287</v>
      </c>
      <c r="R102" s="3">
        <v>0</v>
      </c>
      <c r="S102" s="3">
        <v>0</v>
      </c>
      <c r="T102" s="3">
        <v>5671228819.0948629</v>
      </c>
      <c r="U102" s="3">
        <v>0</v>
      </c>
      <c r="V102" s="3">
        <v>0</v>
      </c>
      <c r="W102" s="3">
        <v>0</v>
      </c>
      <c r="X102" s="3">
        <v>0</v>
      </c>
      <c r="Y102" s="3">
        <v>32600000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0ED1-BC41-417B-BB2A-7C7E4931536F}">
  <dimension ref="A1:AE102"/>
  <sheetViews>
    <sheetView workbookViewId="0">
      <selection sqref="A1:XFD1048576"/>
    </sheetView>
  </sheetViews>
  <sheetFormatPr baseColWidth="10" defaultRowHeight="14.4" x14ac:dyDescent="0.3"/>
  <cols>
    <col min="1" max="1" width="11.5546875" style="2"/>
    <col min="2" max="3" width="13.44140625" style="3" bestFit="1" customWidth="1"/>
    <col min="4" max="4" width="15.44140625" style="3" bestFit="1" customWidth="1"/>
    <col min="5" max="5" width="11.6640625" style="3" bestFit="1" customWidth="1"/>
    <col min="6" max="6" width="13.44140625" style="3" bestFit="1" customWidth="1"/>
    <col min="7" max="10" width="11.6640625" style="3" bestFit="1" customWidth="1"/>
    <col min="11" max="11" width="13.44140625" style="3" bestFit="1" customWidth="1"/>
    <col min="12" max="12" width="14.44140625" style="3" bestFit="1" customWidth="1"/>
    <col min="13" max="14" width="12.44140625" style="3" bestFit="1" customWidth="1"/>
    <col min="15" max="15" width="11.6640625" style="3" bestFit="1" customWidth="1"/>
    <col min="16" max="16" width="12.44140625" style="3" bestFit="1" customWidth="1"/>
    <col min="17" max="17" width="14.44140625" style="3" bestFit="1" customWidth="1"/>
    <col min="18" max="19" width="15.44140625" style="3" bestFit="1" customWidth="1"/>
    <col min="20" max="20" width="16.5546875" style="3" bestFit="1" customWidth="1"/>
    <col min="21" max="22" width="12.44140625" style="3" bestFit="1" customWidth="1"/>
    <col min="23" max="25" width="13.44140625" style="3" bestFit="1" customWidth="1"/>
    <col min="26" max="31" width="11.6640625" style="3" bestFit="1" customWidth="1"/>
    <col min="32" max="16384" width="11.5546875" style="1"/>
  </cols>
  <sheetData>
    <row r="1" spans="1:31" x14ac:dyDescent="0.3">
      <c r="A1" s="2" t="s">
        <v>143</v>
      </c>
      <c r="B1" s="3" t="s">
        <v>0</v>
      </c>
      <c r="C1" s="3" t="s">
        <v>1</v>
      </c>
      <c r="D1" s="3" t="s">
        <v>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4" customFormat="1" x14ac:dyDescent="0.3"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s="4" customFormat="1" x14ac:dyDescent="0.3">
      <c r="B3" s="3">
        <v>0.05</v>
      </c>
      <c r="C3" s="3">
        <v>0.05</v>
      </c>
      <c r="D3" s="3">
        <v>478.63009232263886</v>
      </c>
      <c r="E3" s="3">
        <v>0.5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50</v>
      </c>
      <c r="L3" s="3">
        <v>50</v>
      </c>
      <c r="M3" s="3">
        <v>64000</v>
      </c>
      <c r="N3" s="3">
        <v>30000</v>
      </c>
      <c r="O3" s="3">
        <v>36000</v>
      </c>
      <c r="P3" s="3">
        <v>66000</v>
      </c>
      <c r="Q3" s="3">
        <v>64000</v>
      </c>
      <c r="R3" s="3">
        <v>478.63009232263886</v>
      </c>
      <c r="S3" s="3">
        <v>478.63009232263886</v>
      </c>
      <c r="T3" s="3">
        <v>478.63009232263886</v>
      </c>
      <c r="U3" s="3">
        <v>478.63009232263886</v>
      </c>
      <c r="V3" s="3">
        <v>16000</v>
      </c>
      <c r="W3" s="3">
        <v>10000</v>
      </c>
      <c r="X3" s="3">
        <v>16000</v>
      </c>
      <c r="Y3" s="3">
        <v>10000</v>
      </c>
      <c r="Z3" s="3">
        <v>50</v>
      </c>
      <c r="AA3" s="3">
        <v>50</v>
      </c>
      <c r="AB3" s="3">
        <v>50</v>
      </c>
      <c r="AC3" s="3">
        <v>50</v>
      </c>
      <c r="AD3" s="3">
        <v>40000</v>
      </c>
      <c r="AE3" s="3">
        <v>800</v>
      </c>
    </row>
    <row r="4" spans="1:31" s="4" customFormat="1" x14ac:dyDescent="0.3"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1</v>
      </c>
      <c r="S4" s="4">
        <v>1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">
      <c r="A5" s="2" t="s">
        <v>144</v>
      </c>
      <c r="B5" s="3">
        <v>5430000</v>
      </c>
      <c r="C5" s="3">
        <v>210000</v>
      </c>
      <c r="D5" s="3">
        <v>104713384.2549808</v>
      </c>
      <c r="E5" s="3">
        <v>800</v>
      </c>
      <c r="F5" s="3">
        <v>266000</v>
      </c>
      <c r="G5" s="3">
        <v>0</v>
      </c>
      <c r="H5" s="3">
        <v>50</v>
      </c>
      <c r="I5" s="3">
        <v>0</v>
      </c>
      <c r="J5" s="3">
        <v>0</v>
      </c>
      <c r="K5" s="3">
        <v>0</v>
      </c>
      <c r="L5" s="3">
        <v>840000</v>
      </c>
      <c r="M5" s="3">
        <v>0</v>
      </c>
      <c r="N5" s="3">
        <v>0</v>
      </c>
      <c r="O5" s="3">
        <v>0</v>
      </c>
      <c r="P5" s="3">
        <v>0</v>
      </c>
      <c r="Q5" s="3">
        <v>46399356.767162897</v>
      </c>
      <c r="R5" s="3">
        <v>58252.745858028007</v>
      </c>
      <c r="S5" s="3">
        <v>7509034.0044509051</v>
      </c>
      <c r="T5" s="3">
        <v>779069426.09932685</v>
      </c>
      <c r="U5" s="3">
        <v>221051.25436423111</v>
      </c>
      <c r="V5" s="3">
        <v>524000</v>
      </c>
      <c r="W5" s="3">
        <v>16700000</v>
      </c>
      <c r="X5" s="3">
        <v>0</v>
      </c>
      <c r="Y5" s="3">
        <v>0</v>
      </c>
      <c r="Z5" s="3">
        <v>100</v>
      </c>
      <c r="AA5" s="3">
        <v>480</v>
      </c>
      <c r="AB5" s="3">
        <v>0</v>
      </c>
      <c r="AC5" s="3">
        <v>0</v>
      </c>
      <c r="AD5" s="3">
        <v>0</v>
      </c>
      <c r="AE5" s="3">
        <v>0</v>
      </c>
    </row>
    <row r="6" spans="1:31" x14ac:dyDescent="0.3">
      <c r="A6" s="2" t="s">
        <v>145</v>
      </c>
      <c r="B6" s="3">
        <v>31700000</v>
      </c>
      <c r="C6" s="3">
        <v>27000</v>
      </c>
      <c r="D6" s="3">
        <v>122869900.71993595</v>
      </c>
      <c r="E6" s="3">
        <v>34000</v>
      </c>
      <c r="F6" s="3">
        <v>2050000</v>
      </c>
      <c r="G6" s="3">
        <v>0</v>
      </c>
      <c r="H6" s="3">
        <v>0</v>
      </c>
      <c r="I6" s="3">
        <v>3250</v>
      </c>
      <c r="J6" s="3">
        <v>0</v>
      </c>
      <c r="K6" s="3">
        <v>0</v>
      </c>
      <c r="L6" s="3">
        <v>1856818.1818181816</v>
      </c>
      <c r="M6" s="3">
        <v>0</v>
      </c>
      <c r="N6" s="3">
        <v>0</v>
      </c>
      <c r="O6" s="3">
        <v>0</v>
      </c>
      <c r="P6" s="3">
        <v>0</v>
      </c>
      <c r="Q6" s="3">
        <v>34921425.226402603</v>
      </c>
      <c r="R6" s="3">
        <v>0</v>
      </c>
      <c r="S6" s="3">
        <v>4866153579.3123178</v>
      </c>
      <c r="T6" s="3">
        <v>3199791383.1611419</v>
      </c>
      <c r="U6" s="3">
        <v>176521.14157618629</v>
      </c>
      <c r="V6" s="3">
        <v>175000</v>
      </c>
      <c r="W6" s="3">
        <v>0</v>
      </c>
      <c r="X6" s="3">
        <v>404000000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24000</v>
      </c>
    </row>
    <row r="7" spans="1:31" x14ac:dyDescent="0.3">
      <c r="A7" s="2" t="s">
        <v>145</v>
      </c>
      <c r="B7" s="3">
        <v>35400000</v>
      </c>
      <c r="C7" s="3">
        <v>23400</v>
      </c>
      <c r="D7" s="3">
        <v>489602326.64795661</v>
      </c>
      <c r="E7" s="3">
        <v>17300</v>
      </c>
      <c r="F7" s="3">
        <v>32500000</v>
      </c>
      <c r="G7" s="3">
        <v>0</v>
      </c>
      <c r="H7" s="3">
        <v>0</v>
      </c>
      <c r="I7" s="3">
        <v>33650</v>
      </c>
      <c r="J7" s="3">
        <v>0</v>
      </c>
      <c r="K7" s="3">
        <v>0</v>
      </c>
      <c r="L7" s="3">
        <v>1772727.2727272727</v>
      </c>
      <c r="M7" s="3">
        <v>0</v>
      </c>
      <c r="N7" s="3">
        <v>0</v>
      </c>
      <c r="O7" s="3">
        <v>0</v>
      </c>
      <c r="P7" s="3">
        <v>0</v>
      </c>
      <c r="Q7" s="3">
        <v>14887849.1601665</v>
      </c>
      <c r="R7" s="3">
        <v>0</v>
      </c>
      <c r="S7" s="3">
        <v>1768057968.4049728</v>
      </c>
      <c r="T7" s="3">
        <v>3476284847.6026893</v>
      </c>
      <c r="U7" s="3">
        <v>1294.4793547986774</v>
      </c>
      <c r="V7" s="3">
        <v>82600</v>
      </c>
      <c r="W7" s="3">
        <v>0</v>
      </c>
      <c r="X7" s="3">
        <v>116000000</v>
      </c>
      <c r="Y7" s="3">
        <v>0</v>
      </c>
      <c r="Z7" s="3">
        <v>0</v>
      </c>
      <c r="AA7" s="3">
        <v>0</v>
      </c>
      <c r="AB7" s="3">
        <v>0</v>
      </c>
      <c r="AC7" s="3">
        <v>330</v>
      </c>
      <c r="AD7" s="3">
        <v>0</v>
      </c>
      <c r="AE7" s="3">
        <v>164000</v>
      </c>
    </row>
    <row r="8" spans="1:31" x14ac:dyDescent="0.3">
      <c r="A8" s="2" t="s">
        <v>147</v>
      </c>
      <c r="B8" s="3">
        <v>26900000</v>
      </c>
      <c r="C8" s="3">
        <v>258000</v>
      </c>
      <c r="D8" s="3">
        <v>593500121.94803369</v>
      </c>
      <c r="E8" s="3">
        <v>3230</v>
      </c>
      <c r="F8" s="3">
        <v>1620000</v>
      </c>
      <c r="G8" s="3">
        <v>0</v>
      </c>
      <c r="H8" s="3">
        <v>0</v>
      </c>
      <c r="I8" s="3">
        <v>0</v>
      </c>
      <c r="J8" s="3">
        <v>171.42857142857142</v>
      </c>
      <c r="K8" s="3">
        <v>0</v>
      </c>
      <c r="L8" s="3">
        <v>982500</v>
      </c>
      <c r="M8" s="3">
        <v>0</v>
      </c>
      <c r="N8" s="3">
        <v>0</v>
      </c>
      <c r="O8" s="3">
        <v>0</v>
      </c>
      <c r="P8" s="3">
        <v>3762004.4892194574</v>
      </c>
      <c r="Q8" s="3">
        <v>326303671.18487501</v>
      </c>
      <c r="R8" s="3">
        <v>0</v>
      </c>
      <c r="S8" s="3">
        <v>0</v>
      </c>
      <c r="T8" s="3">
        <v>7406617217.7575359</v>
      </c>
      <c r="U8" s="3">
        <v>720867.44386179617</v>
      </c>
      <c r="V8" s="3">
        <v>0</v>
      </c>
      <c r="W8" s="3">
        <v>0</v>
      </c>
      <c r="X8" s="3">
        <v>0</v>
      </c>
      <c r="Y8" s="3">
        <v>765000000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3">
      <c r="A9" s="2" t="s">
        <v>147</v>
      </c>
      <c r="B9" s="3">
        <v>1220000</v>
      </c>
      <c r="C9" s="3">
        <v>25800</v>
      </c>
      <c r="D9" s="3">
        <v>83422664.363256574</v>
      </c>
      <c r="E9" s="3">
        <v>8770</v>
      </c>
      <c r="F9" s="3">
        <v>237000</v>
      </c>
      <c r="G9" s="3">
        <v>0</v>
      </c>
      <c r="H9" s="3">
        <v>0</v>
      </c>
      <c r="I9" s="3">
        <v>20</v>
      </c>
      <c r="J9" s="3">
        <v>345.45454545454538</v>
      </c>
      <c r="K9" s="3">
        <v>6500</v>
      </c>
      <c r="L9" s="3">
        <v>194545.45454545456</v>
      </c>
      <c r="M9" s="3">
        <v>0</v>
      </c>
      <c r="N9" s="3">
        <v>0</v>
      </c>
      <c r="O9" s="3">
        <v>0</v>
      </c>
      <c r="P9" s="3">
        <v>9736136.3331725467</v>
      </c>
      <c r="Q9" s="3">
        <v>113136296.99875399</v>
      </c>
      <c r="R9" s="3">
        <v>0</v>
      </c>
      <c r="S9" s="3">
        <v>0</v>
      </c>
      <c r="T9" s="3">
        <v>18489962604.548374</v>
      </c>
      <c r="U9" s="3">
        <v>871415.76392626727</v>
      </c>
      <c r="V9" s="3">
        <v>0</v>
      </c>
      <c r="W9" s="3">
        <v>0</v>
      </c>
      <c r="X9" s="3">
        <v>0</v>
      </c>
      <c r="Y9" s="3">
        <v>217000000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3">
      <c r="A10" s="2" t="s">
        <v>146</v>
      </c>
      <c r="B10" s="3">
        <v>459090</v>
      </c>
      <c r="C10" s="3">
        <v>31000</v>
      </c>
      <c r="D10" s="3">
        <v>176287424.81549048</v>
      </c>
      <c r="E10" s="3">
        <v>38636</v>
      </c>
      <c r="F10" s="3">
        <v>257207</v>
      </c>
      <c r="G10" s="3">
        <v>4900</v>
      </c>
      <c r="H10" s="3">
        <v>5</v>
      </c>
      <c r="I10" s="3">
        <v>210</v>
      </c>
      <c r="J10" s="3">
        <v>5</v>
      </c>
      <c r="K10" s="3">
        <v>5000.0000000000009</v>
      </c>
      <c r="L10" s="3">
        <v>70909.090909090912</v>
      </c>
      <c r="M10" s="3">
        <v>0</v>
      </c>
      <c r="N10" s="3">
        <v>0</v>
      </c>
      <c r="O10" s="3">
        <v>0</v>
      </c>
      <c r="P10" s="3">
        <v>0</v>
      </c>
      <c r="Q10" s="3">
        <v>102689717.70646071</v>
      </c>
      <c r="R10" s="3">
        <v>0</v>
      </c>
      <c r="S10" s="3">
        <v>1428.84568795934</v>
      </c>
      <c r="T10" s="3">
        <v>1927906005.9217143</v>
      </c>
      <c r="U10" s="3">
        <v>7612594.4718120694</v>
      </c>
      <c r="V10" s="3">
        <v>75000</v>
      </c>
      <c r="W10" s="3">
        <v>0</v>
      </c>
      <c r="X10" s="3">
        <v>0</v>
      </c>
      <c r="Y10" s="3">
        <v>0</v>
      </c>
      <c r="Z10" s="3">
        <v>304</v>
      </c>
      <c r="AA10" s="3">
        <v>509</v>
      </c>
      <c r="AB10" s="3">
        <v>116</v>
      </c>
      <c r="AC10" s="3">
        <v>313</v>
      </c>
      <c r="AD10" s="3">
        <v>334000</v>
      </c>
      <c r="AE10" s="3">
        <v>43200</v>
      </c>
    </row>
    <row r="11" spans="1:31" x14ac:dyDescent="0.3">
      <c r="A11" s="2" t="s">
        <v>146</v>
      </c>
      <c r="B11" s="3">
        <v>440909</v>
      </c>
      <c r="C11" s="3">
        <v>35000</v>
      </c>
      <c r="D11" s="3">
        <v>576646013.40805268</v>
      </c>
      <c r="E11" s="3">
        <v>21363</v>
      </c>
      <c r="F11" s="3">
        <v>217117</v>
      </c>
      <c r="G11" s="3">
        <v>6300</v>
      </c>
      <c r="H11" s="3">
        <v>5</v>
      </c>
      <c r="I11" s="3">
        <v>0</v>
      </c>
      <c r="J11" s="3">
        <v>5</v>
      </c>
      <c r="K11" s="3">
        <v>2000</v>
      </c>
      <c r="L11" s="3">
        <v>76363.636363636368</v>
      </c>
      <c r="M11" s="3">
        <v>4220000</v>
      </c>
      <c r="N11" s="3">
        <v>0</v>
      </c>
      <c r="O11" s="3">
        <v>0</v>
      </c>
      <c r="P11" s="3">
        <v>0</v>
      </c>
      <c r="Q11" s="3">
        <v>31290100.639500599</v>
      </c>
      <c r="R11" s="3">
        <v>0</v>
      </c>
      <c r="S11" s="3">
        <v>3746.3582316697903</v>
      </c>
      <c r="T11" s="3">
        <v>1587613281.8609478</v>
      </c>
      <c r="U11" s="3">
        <v>7182326.4965543412</v>
      </c>
      <c r="V11" s="3">
        <v>16500</v>
      </c>
      <c r="W11" s="3">
        <v>0</v>
      </c>
      <c r="X11" s="3">
        <v>0</v>
      </c>
      <c r="Y11" s="3">
        <v>0</v>
      </c>
      <c r="Z11" s="3">
        <v>361</v>
      </c>
      <c r="AA11" s="3">
        <v>391</v>
      </c>
      <c r="AB11" s="3">
        <v>281</v>
      </c>
      <c r="AC11" s="3">
        <v>250</v>
      </c>
      <c r="AD11" s="3">
        <v>58300</v>
      </c>
      <c r="AE11" s="3">
        <v>18400</v>
      </c>
    </row>
    <row r="12" spans="1:31" x14ac:dyDescent="0.3">
      <c r="A12" s="2" t="s">
        <v>145</v>
      </c>
      <c r="B12" s="3">
        <v>6000000</v>
      </c>
      <c r="C12" s="3">
        <v>12272</v>
      </c>
      <c r="D12" s="3">
        <v>318884700.10612929</v>
      </c>
      <c r="E12" s="3">
        <v>50909</v>
      </c>
      <c r="F12" s="3">
        <v>2954545</v>
      </c>
      <c r="G12" s="3">
        <v>0</v>
      </c>
      <c r="H12" s="3">
        <v>0</v>
      </c>
      <c r="I12" s="3">
        <v>16100</v>
      </c>
      <c r="J12" s="3">
        <v>5</v>
      </c>
      <c r="K12" s="3">
        <v>50000</v>
      </c>
      <c r="L12" s="3">
        <v>32950000</v>
      </c>
      <c r="M12" s="3">
        <v>0</v>
      </c>
      <c r="N12" s="3">
        <v>0</v>
      </c>
      <c r="O12" s="3">
        <v>0</v>
      </c>
      <c r="P12" s="3">
        <v>0</v>
      </c>
      <c r="Q12" s="3">
        <v>46700008.540051088</v>
      </c>
      <c r="R12" s="3">
        <v>0</v>
      </c>
      <c r="S12" s="3">
        <v>526283659.44292212</v>
      </c>
      <c r="T12" s="3">
        <v>8803633277.1746788</v>
      </c>
      <c r="U12" s="3">
        <v>11062.064906698026</v>
      </c>
      <c r="V12" s="3">
        <v>318000</v>
      </c>
      <c r="W12" s="3">
        <v>0</v>
      </c>
      <c r="X12" s="3">
        <v>16500000</v>
      </c>
      <c r="Y12" s="3">
        <v>0</v>
      </c>
      <c r="Z12" s="3">
        <v>137</v>
      </c>
      <c r="AA12" s="3">
        <v>92</v>
      </c>
      <c r="AB12" s="3">
        <v>0</v>
      </c>
      <c r="AC12" s="3">
        <v>324</v>
      </c>
      <c r="AD12" s="3">
        <v>0</v>
      </c>
      <c r="AE12" s="3">
        <v>268800</v>
      </c>
    </row>
    <row r="13" spans="1:31" x14ac:dyDescent="0.3">
      <c r="A13" s="2" t="s">
        <v>145</v>
      </c>
      <c r="B13" s="3">
        <v>1959016</v>
      </c>
      <c r="C13" s="3">
        <v>105000</v>
      </c>
      <c r="D13" s="3">
        <v>262934306.97522908</v>
      </c>
      <c r="E13" s="3">
        <v>64090</v>
      </c>
      <c r="F13" s="3">
        <v>2040983</v>
      </c>
      <c r="G13" s="3">
        <v>0</v>
      </c>
      <c r="H13" s="3">
        <v>0</v>
      </c>
      <c r="I13" s="3">
        <v>32950</v>
      </c>
      <c r="J13" s="3">
        <v>0</v>
      </c>
      <c r="K13" s="3">
        <v>5500</v>
      </c>
      <c r="L13" s="3">
        <v>5550000</v>
      </c>
      <c r="M13" s="3">
        <v>0</v>
      </c>
      <c r="N13" s="3">
        <v>0</v>
      </c>
      <c r="O13" s="3">
        <v>0</v>
      </c>
      <c r="P13" s="3">
        <v>0</v>
      </c>
      <c r="Q13" s="3">
        <v>39480892.342886284</v>
      </c>
      <c r="R13" s="3">
        <v>0</v>
      </c>
      <c r="S13" s="3">
        <v>250742047.46149775</v>
      </c>
      <c r="T13" s="3">
        <v>2882681837.4189587</v>
      </c>
      <c r="U13" s="3">
        <v>0</v>
      </c>
      <c r="V13" s="3">
        <v>0</v>
      </c>
      <c r="W13" s="3">
        <v>0</v>
      </c>
      <c r="X13" s="3">
        <v>7580000</v>
      </c>
      <c r="Y13" s="3">
        <v>0</v>
      </c>
      <c r="Z13" s="3">
        <v>137</v>
      </c>
      <c r="AA13" s="3">
        <v>98</v>
      </c>
      <c r="AB13" s="3">
        <v>0</v>
      </c>
      <c r="AC13" s="3">
        <v>262</v>
      </c>
      <c r="AD13" s="3">
        <v>0</v>
      </c>
      <c r="AE13" s="3">
        <v>1100000</v>
      </c>
    </row>
    <row r="14" spans="1:31" x14ac:dyDescent="0.3">
      <c r="A14" s="2" t="s">
        <v>144</v>
      </c>
      <c r="B14" s="3">
        <v>1729729</v>
      </c>
      <c r="C14" s="3">
        <v>13636</v>
      </c>
      <c r="D14" s="3">
        <v>496827.3857186216</v>
      </c>
      <c r="E14" s="3">
        <v>550</v>
      </c>
      <c r="F14" s="3">
        <v>157142</v>
      </c>
      <c r="G14" s="3">
        <v>0</v>
      </c>
      <c r="H14" s="3">
        <v>275</v>
      </c>
      <c r="I14" s="3">
        <v>0</v>
      </c>
      <c r="J14" s="3">
        <v>0</v>
      </c>
      <c r="K14" s="3">
        <v>18500</v>
      </c>
      <c r="L14" s="3">
        <v>1230000</v>
      </c>
      <c r="M14" s="3">
        <v>0</v>
      </c>
      <c r="N14" s="3">
        <v>0</v>
      </c>
      <c r="O14" s="3">
        <v>0</v>
      </c>
      <c r="P14" s="3">
        <v>0</v>
      </c>
      <c r="Q14" s="3">
        <v>2279958594.3846712</v>
      </c>
      <c r="R14" s="3">
        <v>13981.473455970226</v>
      </c>
      <c r="S14" s="3">
        <v>4863.5789291426127</v>
      </c>
      <c r="T14" s="3">
        <v>63817377.917805426</v>
      </c>
      <c r="U14" s="3">
        <v>0</v>
      </c>
      <c r="V14" s="3">
        <v>42400</v>
      </c>
      <c r="W14" s="3">
        <v>151000000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3">
      <c r="A15" s="2" t="s">
        <v>146</v>
      </c>
      <c r="B15" s="3">
        <v>819004</v>
      </c>
      <c r="C15" s="3">
        <v>45909</v>
      </c>
      <c r="D15" s="3">
        <v>700861195.10926437</v>
      </c>
      <c r="E15" s="3">
        <v>25454</v>
      </c>
      <c r="F15" s="3">
        <v>495454</v>
      </c>
      <c r="G15" s="3">
        <v>13500</v>
      </c>
      <c r="H15" s="3">
        <v>15</v>
      </c>
      <c r="I15" s="3">
        <v>390</v>
      </c>
      <c r="J15" s="3">
        <v>75</v>
      </c>
      <c r="K15" s="3">
        <v>1800</v>
      </c>
      <c r="L15" s="3">
        <v>55163.934426229505</v>
      </c>
      <c r="M15" s="3">
        <v>0</v>
      </c>
      <c r="N15" s="3">
        <v>0</v>
      </c>
      <c r="O15" s="3">
        <v>0</v>
      </c>
      <c r="P15" s="3">
        <v>0</v>
      </c>
      <c r="Q15" s="3">
        <v>18664096.015995242</v>
      </c>
      <c r="R15" s="3">
        <v>0</v>
      </c>
      <c r="S15" s="3">
        <v>0</v>
      </c>
      <c r="T15" s="3">
        <v>4118261692.5379653</v>
      </c>
      <c r="U15" s="3">
        <v>6316785.9271928342</v>
      </c>
      <c r="V15" s="3">
        <v>49200</v>
      </c>
      <c r="W15" s="3">
        <v>0</v>
      </c>
      <c r="X15" s="3">
        <v>0</v>
      </c>
      <c r="Y15" s="3">
        <v>0</v>
      </c>
      <c r="Z15" s="3">
        <v>510</v>
      </c>
      <c r="AA15" s="3">
        <v>620</v>
      </c>
      <c r="AB15" s="3">
        <v>0</v>
      </c>
      <c r="AC15" s="3">
        <v>380</v>
      </c>
      <c r="AD15" s="3">
        <v>0</v>
      </c>
      <c r="AE15" s="3">
        <v>50400</v>
      </c>
    </row>
    <row r="16" spans="1:31" x14ac:dyDescent="0.3">
      <c r="A16" s="2" t="s">
        <v>146</v>
      </c>
      <c r="B16" s="3">
        <v>277049</v>
      </c>
      <c r="C16" s="3">
        <v>35909</v>
      </c>
      <c r="D16" s="3">
        <v>195413484.14375094</v>
      </c>
      <c r="E16" s="3">
        <v>12252</v>
      </c>
      <c r="F16" s="3">
        <v>193693</v>
      </c>
      <c r="G16" s="3">
        <v>2538.6363636363635</v>
      </c>
      <c r="H16" s="3">
        <v>40</v>
      </c>
      <c r="I16" s="3">
        <v>2280</v>
      </c>
      <c r="J16" s="3">
        <v>290</v>
      </c>
      <c r="K16" s="3">
        <v>2650</v>
      </c>
      <c r="L16" s="3">
        <v>244166.66666666669</v>
      </c>
      <c r="M16" s="3">
        <v>62500000</v>
      </c>
      <c r="N16" s="3">
        <v>0</v>
      </c>
      <c r="O16" s="3">
        <v>0</v>
      </c>
      <c r="P16" s="3">
        <v>0</v>
      </c>
      <c r="Q16" s="3">
        <v>10709691.478391923</v>
      </c>
      <c r="R16" s="3">
        <v>0</v>
      </c>
      <c r="S16" s="3">
        <v>6214.8209950086257</v>
      </c>
      <c r="T16" s="3">
        <v>2555080366.5634608</v>
      </c>
      <c r="U16" s="3">
        <v>7657387.4255842008</v>
      </c>
      <c r="V16" s="3">
        <v>22800</v>
      </c>
      <c r="W16" s="3">
        <v>0</v>
      </c>
      <c r="X16" s="3">
        <v>0</v>
      </c>
      <c r="Y16" s="3">
        <v>25000</v>
      </c>
      <c r="Z16" s="3">
        <v>310</v>
      </c>
      <c r="AA16" s="3">
        <v>370</v>
      </c>
      <c r="AB16" s="3">
        <v>0</v>
      </c>
      <c r="AC16" s="3">
        <v>210</v>
      </c>
      <c r="AD16" s="3">
        <v>153000</v>
      </c>
      <c r="AE16" s="3">
        <v>225200</v>
      </c>
    </row>
    <row r="17" spans="1:31" x14ac:dyDescent="0.3">
      <c r="A17" s="2" t="s">
        <v>144</v>
      </c>
      <c r="B17" s="3">
        <v>5536363</v>
      </c>
      <c r="C17" s="3">
        <v>50000</v>
      </c>
      <c r="D17" s="3">
        <v>3794099718.0446382</v>
      </c>
      <c r="E17" s="3">
        <v>96000</v>
      </c>
      <c r="F17" s="3">
        <v>118918</v>
      </c>
      <c r="G17" s="3">
        <v>0</v>
      </c>
      <c r="H17" s="3">
        <v>40</v>
      </c>
      <c r="I17" s="3">
        <v>0</v>
      </c>
      <c r="J17" s="3">
        <v>0</v>
      </c>
      <c r="K17" s="3">
        <v>55000</v>
      </c>
      <c r="L17" s="3">
        <v>1095000</v>
      </c>
      <c r="M17" s="3">
        <v>0</v>
      </c>
      <c r="N17" s="3">
        <v>0</v>
      </c>
      <c r="O17" s="3">
        <v>0</v>
      </c>
      <c r="P17" s="3">
        <v>0</v>
      </c>
      <c r="Q17" s="3">
        <v>19029262.628510661</v>
      </c>
      <c r="R17" s="3">
        <v>455110161.54806763</v>
      </c>
      <c r="S17" s="3">
        <v>233436079.46481621</v>
      </c>
      <c r="T17" s="3">
        <v>69831993461.000778</v>
      </c>
      <c r="U17" s="3">
        <v>336964.70048003545</v>
      </c>
      <c r="V17" s="3">
        <v>16500</v>
      </c>
      <c r="W17" s="3">
        <v>50600000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1:31" x14ac:dyDescent="0.3">
      <c r="A18" s="2" t="s">
        <v>145</v>
      </c>
      <c r="B18" s="3">
        <v>91500000</v>
      </c>
      <c r="C18" s="3">
        <v>214285</v>
      </c>
      <c r="D18" s="3">
        <v>639854823.44835436</v>
      </c>
      <c r="E18" s="3">
        <v>44090</v>
      </c>
      <c r="F18" s="3">
        <v>9772727</v>
      </c>
      <c r="G18" s="3">
        <v>0</v>
      </c>
      <c r="H18" s="3">
        <v>0</v>
      </c>
      <c r="I18" s="3">
        <v>4104.545454545454</v>
      </c>
      <c r="J18" s="3">
        <v>0</v>
      </c>
      <c r="K18" s="3">
        <v>50000</v>
      </c>
      <c r="L18" s="3">
        <v>6900000</v>
      </c>
      <c r="M18" s="3">
        <v>0</v>
      </c>
      <c r="N18" s="3">
        <v>0</v>
      </c>
      <c r="O18" s="3">
        <v>0</v>
      </c>
      <c r="P18" s="3">
        <v>0</v>
      </c>
      <c r="Q18" s="3">
        <v>12030036.914479487</v>
      </c>
      <c r="R18" s="3">
        <v>0</v>
      </c>
      <c r="S18" s="3">
        <v>631101961.76488626</v>
      </c>
      <c r="T18" s="3">
        <v>7077814204.5099087</v>
      </c>
      <c r="U18" s="3">
        <v>87034.984671682454</v>
      </c>
      <c r="V18" s="3">
        <v>268000</v>
      </c>
      <c r="W18" s="3">
        <v>0</v>
      </c>
      <c r="X18" s="3">
        <v>33200000</v>
      </c>
      <c r="Y18" s="3">
        <v>0</v>
      </c>
      <c r="Z18" s="3">
        <v>0</v>
      </c>
      <c r="AA18" s="3">
        <v>0</v>
      </c>
      <c r="AB18" s="3">
        <v>0</v>
      </c>
      <c r="AC18" s="3">
        <v>59</v>
      </c>
      <c r="AD18" s="3">
        <v>0</v>
      </c>
      <c r="AE18" s="3">
        <v>604000</v>
      </c>
    </row>
    <row r="19" spans="1:31" x14ac:dyDescent="0.3">
      <c r="A19" s="2" t="s">
        <v>147</v>
      </c>
      <c r="B19" s="3">
        <v>17090909</v>
      </c>
      <c r="C19" s="3">
        <v>547619</v>
      </c>
      <c r="D19" s="3">
        <v>4311900582.4695997</v>
      </c>
      <c r="E19" s="3">
        <v>2509</v>
      </c>
      <c r="F19" s="3">
        <v>4250000</v>
      </c>
      <c r="G19" s="3">
        <v>0</v>
      </c>
      <c r="H19" s="3">
        <v>0</v>
      </c>
      <c r="I19" s="3">
        <v>0</v>
      </c>
      <c r="J19" s="3">
        <v>0</v>
      </c>
      <c r="K19" s="3">
        <v>47500</v>
      </c>
      <c r="L19" s="3">
        <v>133000</v>
      </c>
      <c r="M19" s="3">
        <v>0</v>
      </c>
      <c r="N19" s="3">
        <v>0</v>
      </c>
      <c r="O19" s="3">
        <v>0</v>
      </c>
      <c r="P19" s="3">
        <v>26239574.820295356</v>
      </c>
      <c r="Q19" s="3">
        <v>43217233.240818493</v>
      </c>
      <c r="R19" s="3">
        <v>0</v>
      </c>
      <c r="S19" s="3">
        <v>0</v>
      </c>
      <c r="T19" s="3">
        <v>3014776510.1392918</v>
      </c>
      <c r="U19" s="3">
        <v>3793735.8946271422</v>
      </c>
      <c r="V19" s="3">
        <v>44600</v>
      </c>
      <c r="W19" s="3">
        <v>0</v>
      </c>
      <c r="X19" s="3">
        <v>0</v>
      </c>
      <c r="Y19" s="3">
        <v>5000000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  <row r="20" spans="1:31" x14ac:dyDescent="0.3">
      <c r="A20" s="2" t="s">
        <v>147</v>
      </c>
      <c r="B20" s="3">
        <v>1049549</v>
      </c>
      <c r="C20" s="3">
        <v>38009</v>
      </c>
      <c r="D20" s="3">
        <v>166636879.82666141</v>
      </c>
      <c r="E20" s="3">
        <v>6818</v>
      </c>
      <c r="F20" s="3">
        <v>295454</v>
      </c>
      <c r="G20" s="3">
        <v>0</v>
      </c>
      <c r="H20" s="3">
        <v>0</v>
      </c>
      <c r="I20" s="3">
        <v>0</v>
      </c>
      <c r="J20" s="3">
        <v>54.54545454545454</v>
      </c>
      <c r="K20" s="3">
        <v>2000</v>
      </c>
      <c r="L20" s="3">
        <v>85454.545454545456</v>
      </c>
      <c r="M20" s="3">
        <v>0</v>
      </c>
      <c r="N20" s="3">
        <v>0</v>
      </c>
      <c r="O20" s="3">
        <v>0</v>
      </c>
      <c r="P20" s="3">
        <v>28318344.034422964</v>
      </c>
      <c r="Q20" s="3">
        <v>11350682.086453702</v>
      </c>
      <c r="R20" s="3">
        <v>0</v>
      </c>
      <c r="S20" s="3">
        <v>0</v>
      </c>
      <c r="T20" s="3">
        <v>17811368298.42672</v>
      </c>
      <c r="U20" s="3">
        <v>1733581.2991958582</v>
      </c>
      <c r="V20" s="3">
        <v>121000</v>
      </c>
      <c r="W20" s="3">
        <v>0</v>
      </c>
      <c r="X20" s="3">
        <v>0</v>
      </c>
      <c r="Y20" s="3">
        <v>4660000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1:31" x14ac:dyDescent="0.3">
      <c r="A21" s="2" t="s">
        <v>145</v>
      </c>
      <c r="B21" s="3">
        <v>33090909</v>
      </c>
      <c r="C21" s="3">
        <v>90000</v>
      </c>
      <c r="D21" s="3">
        <v>556500461.80930352</v>
      </c>
      <c r="E21" s="3">
        <v>51363</v>
      </c>
      <c r="F21" s="3">
        <v>283783</v>
      </c>
      <c r="G21" s="3">
        <v>0</v>
      </c>
      <c r="H21" s="3">
        <v>0</v>
      </c>
      <c r="I21" s="3">
        <v>1640.9090909090908</v>
      </c>
      <c r="J21" s="3">
        <v>0</v>
      </c>
      <c r="K21" s="3">
        <v>300000</v>
      </c>
      <c r="L21" s="3">
        <v>17450000</v>
      </c>
      <c r="M21" s="3">
        <v>0</v>
      </c>
      <c r="N21" s="3">
        <v>0</v>
      </c>
      <c r="O21" s="3">
        <v>0</v>
      </c>
      <c r="P21" s="3">
        <v>0</v>
      </c>
      <c r="Q21" s="3">
        <v>17496732.816444088</v>
      </c>
      <c r="R21" s="3">
        <v>0</v>
      </c>
      <c r="S21" s="3">
        <v>426976546.68555272</v>
      </c>
      <c r="T21" s="3">
        <v>2474330792.1692333</v>
      </c>
      <c r="U21" s="3">
        <v>822.41867683072473</v>
      </c>
      <c r="V21" s="3">
        <v>1720000</v>
      </c>
      <c r="W21" s="3">
        <v>0</v>
      </c>
      <c r="X21" s="3">
        <v>2260000</v>
      </c>
      <c r="Y21" s="3">
        <v>0</v>
      </c>
      <c r="Z21" s="3">
        <v>0</v>
      </c>
      <c r="AA21" s="3">
        <v>0</v>
      </c>
      <c r="AB21" s="3">
        <v>0</v>
      </c>
      <c r="AC21" s="3">
        <v>82</v>
      </c>
      <c r="AD21" s="3">
        <v>0</v>
      </c>
      <c r="AE21" s="3">
        <v>42800</v>
      </c>
    </row>
    <row r="22" spans="1:31" x14ac:dyDescent="0.3">
      <c r="A22" s="2" t="s">
        <v>144</v>
      </c>
      <c r="B22" s="3">
        <v>12272727</v>
      </c>
      <c r="C22" s="3">
        <v>365000</v>
      </c>
      <c r="D22" s="3">
        <v>1932336606.6270132</v>
      </c>
      <c r="E22" s="3">
        <v>13500</v>
      </c>
      <c r="F22" s="3">
        <v>1647619</v>
      </c>
      <c r="G22" s="3">
        <v>0</v>
      </c>
      <c r="H22" s="3">
        <v>72.72727272727272</v>
      </c>
      <c r="I22" s="3">
        <v>0</v>
      </c>
      <c r="J22" s="3">
        <v>0</v>
      </c>
      <c r="K22" s="3">
        <v>110000</v>
      </c>
      <c r="L22" s="3">
        <v>2425000</v>
      </c>
      <c r="M22" s="3">
        <v>0</v>
      </c>
      <c r="N22" s="3">
        <v>0</v>
      </c>
      <c r="O22" s="3">
        <v>0</v>
      </c>
      <c r="P22" s="3">
        <v>0</v>
      </c>
      <c r="Q22" s="3">
        <v>14229739.838809604</v>
      </c>
      <c r="R22" s="3">
        <v>58840302.837453343</v>
      </c>
      <c r="S22" s="3">
        <v>36555572.822539657</v>
      </c>
      <c r="T22" s="3">
        <v>11919535872.040548</v>
      </c>
      <c r="U22" s="3">
        <v>822215.97097405011</v>
      </c>
      <c r="V22" s="3">
        <v>6780000</v>
      </c>
      <c r="W22" s="3">
        <v>356000000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1:31" x14ac:dyDescent="0.3">
      <c r="A23" s="2" t="s">
        <v>147</v>
      </c>
      <c r="B23" s="3">
        <v>2787330</v>
      </c>
      <c r="C23" s="3">
        <v>81981</v>
      </c>
      <c r="D23" s="3">
        <v>102719469.65523528</v>
      </c>
      <c r="E23" s="3">
        <v>2181</v>
      </c>
      <c r="F23" s="3">
        <v>1218181</v>
      </c>
      <c r="G23" s="3">
        <v>5</v>
      </c>
      <c r="H23" s="3">
        <v>0</v>
      </c>
      <c r="I23" s="3">
        <v>0</v>
      </c>
      <c r="J23" s="3">
        <v>10</v>
      </c>
      <c r="K23" s="3">
        <v>6000</v>
      </c>
      <c r="L23" s="3">
        <v>200909.09090909091</v>
      </c>
      <c r="M23" s="3">
        <v>0</v>
      </c>
      <c r="N23" s="3">
        <v>0</v>
      </c>
      <c r="O23" s="3">
        <v>0</v>
      </c>
      <c r="P23" s="3">
        <v>27136382.986260898</v>
      </c>
      <c r="Q23" s="3">
        <v>104024816.88718921</v>
      </c>
      <c r="R23" s="3">
        <v>0</v>
      </c>
      <c r="S23" s="3">
        <v>0</v>
      </c>
      <c r="T23" s="3">
        <v>5105228025.8645411</v>
      </c>
      <c r="U23" s="3">
        <v>1584924.7826493217</v>
      </c>
      <c r="V23" s="3">
        <v>156000</v>
      </c>
      <c r="W23" s="3">
        <v>0</v>
      </c>
      <c r="X23" s="3">
        <v>0</v>
      </c>
      <c r="Y23" s="3">
        <v>770000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1:31" x14ac:dyDescent="0.3">
      <c r="A24" s="2" t="s">
        <v>146</v>
      </c>
      <c r="B24" s="3">
        <v>940909</v>
      </c>
      <c r="C24" s="3">
        <v>41818</v>
      </c>
      <c r="D24" s="3">
        <v>67191080.154871747</v>
      </c>
      <c r="E24" s="3">
        <v>19545</v>
      </c>
      <c r="F24" s="3">
        <v>100900</v>
      </c>
      <c r="G24" s="3">
        <v>0</v>
      </c>
      <c r="H24" s="3">
        <v>0</v>
      </c>
      <c r="I24" s="3">
        <v>85</v>
      </c>
      <c r="J24" s="3">
        <v>0</v>
      </c>
      <c r="K24" s="3">
        <v>6216.2162162162149</v>
      </c>
      <c r="L24" s="3">
        <v>46818.181818181816</v>
      </c>
      <c r="M24" s="3">
        <v>379619.89086155198</v>
      </c>
      <c r="N24" s="3">
        <v>0</v>
      </c>
      <c r="O24" s="3">
        <v>0</v>
      </c>
      <c r="P24" s="3">
        <v>0</v>
      </c>
      <c r="Q24" s="3">
        <v>53483763.531483635</v>
      </c>
      <c r="R24" s="3">
        <v>0</v>
      </c>
      <c r="S24" s="3">
        <v>0</v>
      </c>
      <c r="T24" s="3">
        <v>1633268658.29392</v>
      </c>
      <c r="U24" s="3">
        <v>4086309.1518535698</v>
      </c>
      <c r="V24" s="3">
        <v>314000</v>
      </c>
      <c r="W24" s="3">
        <v>0</v>
      </c>
      <c r="X24" s="3">
        <v>0</v>
      </c>
      <c r="Y24" s="3">
        <v>0</v>
      </c>
      <c r="Z24" s="3">
        <v>160</v>
      </c>
      <c r="AA24" s="3">
        <v>170</v>
      </c>
      <c r="AB24" s="3">
        <v>0</v>
      </c>
      <c r="AC24" s="3">
        <v>83</v>
      </c>
      <c r="AD24" s="3">
        <v>0</v>
      </c>
      <c r="AE24" s="3">
        <v>12800</v>
      </c>
    </row>
    <row r="25" spans="1:31" x14ac:dyDescent="0.3">
      <c r="A25" s="2" t="s">
        <v>144</v>
      </c>
      <c r="B25" s="3">
        <v>16954545</v>
      </c>
      <c r="C25" s="3">
        <v>35909</v>
      </c>
      <c r="D25" s="3">
        <v>720428396.3940233</v>
      </c>
      <c r="E25" s="3">
        <v>26363</v>
      </c>
      <c r="F25" s="3">
        <v>118918</v>
      </c>
      <c r="G25" s="3">
        <v>0</v>
      </c>
      <c r="H25" s="3">
        <v>23428.571428571428</v>
      </c>
      <c r="I25" s="3">
        <v>0</v>
      </c>
      <c r="J25" s="3">
        <v>0</v>
      </c>
      <c r="K25" s="3">
        <v>2500</v>
      </c>
      <c r="L25" s="3">
        <v>527272.72727272729</v>
      </c>
      <c r="M25" s="3">
        <v>78393.482915275701</v>
      </c>
      <c r="N25" s="3">
        <v>1590277.6669772801</v>
      </c>
      <c r="O25" s="3">
        <v>0</v>
      </c>
      <c r="P25" s="3">
        <v>0</v>
      </c>
      <c r="Q25" s="3">
        <v>165613966.96514523</v>
      </c>
      <c r="R25" s="3">
        <v>49224360.942606464</v>
      </c>
      <c r="S25" s="3">
        <v>24920117.113047443</v>
      </c>
      <c r="T25" s="3">
        <v>6373079469.9484587</v>
      </c>
      <c r="U25" s="3">
        <v>355607.22144298477</v>
      </c>
      <c r="V25" s="3">
        <v>964000</v>
      </c>
      <c r="W25" s="3">
        <v>42200000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1:31" x14ac:dyDescent="0.3">
      <c r="A26" s="2" t="s">
        <v>145</v>
      </c>
      <c r="B26" s="3">
        <v>12318181</v>
      </c>
      <c r="C26" s="3">
        <v>57272</v>
      </c>
      <c r="D26" s="3">
        <v>607729959.73051941</v>
      </c>
      <c r="E26" s="3">
        <v>36818</v>
      </c>
      <c r="F26" s="3">
        <v>29333333</v>
      </c>
      <c r="G26" s="3">
        <v>0</v>
      </c>
      <c r="H26" s="3">
        <v>0</v>
      </c>
      <c r="I26" s="3">
        <v>2349.9999999999995</v>
      </c>
      <c r="J26" s="3">
        <v>0</v>
      </c>
      <c r="K26" s="3">
        <v>5000</v>
      </c>
      <c r="L26" s="3">
        <v>8524999.9999999981</v>
      </c>
      <c r="M26" s="3">
        <v>0</v>
      </c>
      <c r="N26" s="3">
        <v>32673.296960301501</v>
      </c>
      <c r="O26" s="3">
        <v>271958.07596315403</v>
      </c>
      <c r="P26" s="3">
        <v>0</v>
      </c>
      <c r="Q26" s="3">
        <v>62049310.508699402</v>
      </c>
      <c r="R26" s="3">
        <v>0</v>
      </c>
      <c r="S26" s="3">
        <v>391322689.26667058</v>
      </c>
      <c r="T26" s="3">
        <v>3653354146.8294086</v>
      </c>
      <c r="U26" s="3">
        <v>15673.599428338086</v>
      </c>
      <c r="V26" s="3">
        <v>1230000</v>
      </c>
      <c r="W26" s="3">
        <v>0</v>
      </c>
      <c r="X26" s="3">
        <v>2620000</v>
      </c>
      <c r="Y26" s="3">
        <v>0</v>
      </c>
      <c r="Z26" s="3">
        <v>54</v>
      </c>
      <c r="AA26" s="3">
        <v>0</v>
      </c>
      <c r="AB26" s="3">
        <v>0</v>
      </c>
      <c r="AC26" s="3">
        <v>140</v>
      </c>
      <c r="AD26" s="3">
        <v>0</v>
      </c>
      <c r="AE26" s="3">
        <v>1600</v>
      </c>
    </row>
    <row r="27" spans="1:31" x14ac:dyDescent="0.3">
      <c r="A27" s="2" t="s">
        <v>145</v>
      </c>
      <c r="B27" s="3">
        <v>15630630</v>
      </c>
      <c r="C27" s="3">
        <v>81363</v>
      </c>
      <c r="D27" s="3">
        <v>74295440</v>
      </c>
      <c r="E27" s="3">
        <v>29090</v>
      </c>
      <c r="F27" s="3">
        <v>558558</v>
      </c>
      <c r="G27" s="3">
        <v>0</v>
      </c>
      <c r="H27" s="3">
        <v>10</v>
      </c>
      <c r="I27" s="3">
        <v>459.09090909090912</v>
      </c>
      <c r="J27" s="3">
        <v>0</v>
      </c>
      <c r="K27" s="3">
        <v>0</v>
      </c>
      <c r="L27" s="3">
        <v>2883333.333333333</v>
      </c>
      <c r="M27" s="3">
        <v>0</v>
      </c>
      <c r="N27" s="3">
        <v>0</v>
      </c>
      <c r="O27" s="3">
        <v>0</v>
      </c>
      <c r="P27" s="3">
        <v>0</v>
      </c>
      <c r="Q27" s="3">
        <v>102689717.70646071</v>
      </c>
      <c r="R27" s="3">
        <v>0</v>
      </c>
      <c r="S27" s="3">
        <v>202921356.13408461</v>
      </c>
      <c r="T27" s="3">
        <v>3112982814.5914626</v>
      </c>
      <c r="U27" s="3">
        <v>548418.72308111435</v>
      </c>
      <c r="V27" s="3">
        <v>710000</v>
      </c>
      <c r="W27" s="3">
        <v>0</v>
      </c>
      <c r="X27" s="3">
        <v>5980000</v>
      </c>
      <c r="Y27" s="3">
        <v>0</v>
      </c>
      <c r="Z27" s="3">
        <v>52</v>
      </c>
      <c r="AA27" s="3">
        <v>0</v>
      </c>
      <c r="AB27" s="3">
        <v>0</v>
      </c>
      <c r="AC27" s="3">
        <v>88</v>
      </c>
      <c r="AD27" s="3">
        <v>0</v>
      </c>
      <c r="AE27" s="3">
        <v>22000</v>
      </c>
    </row>
    <row r="28" spans="1:31" x14ac:dyDescent="0.3">
      <c r="A28" s="2" t="s">
        <v>146</v>
      </c>
      <c r="B28" s="3">
        <v>241803</v>
      </c>
      <c r="C28" s="3">
        <v>245000</v>
      </c>
      <c r="D28" s="3">
        <v>1397774322.0449517</v>
      </c>
      <c r="E28" s="3">
        <v>6416</v>
      </c>
      <c r="F28" s="3">
        <v>352380</v>
      </c>
      <c r="G28" s="3">
        <v>840</v>
      </c>
      <c r="H28" s="3">
        <v>0</v>
      </c>
      <c r="I28" s="3">
        <v>0</v>
      </c>
      <c r="J28" s="3">
        <v>0</v>
      </c>
      <c r="M28" s="3">
        <v>6027992.6216044417</v>
      </c>
      <c r="N28" s="3">
        <v>0</v>
      </c>
      <c r="O28" s="3">
        <v>0</v>
      </c>
      <c r="P28" s="3">
        <v>0</v>
      </c>
      <c r="Q28" s="3">
        <v>8672769.1982788108</v>
      </c>
      <c r="R28" s="3">
        <v>0</v>
      </c>
      <c r="S28" s="3">
        <v>0</v>
      </c>
      <c r="T28" s="3">
        <v>4795715046.5128498</v>
      </c>
      <c r="U28" s="3">
        <v>10617967.153386755</v>
      </c>
      <c r="V28" s="3">
        <v>41800</v>
      </c>
      <c r="W28" s="3">
        <v>0</v>
      </c>
      <c r="X28" s="3">
        <v>0</v>
      </c>
      <c r="Y28" s="3">
        <v>0</v>
      </c>
      <c r="AE28" s="3">
        <v>1032507.18231255</v>
      </c>
    </row>
    <row r="29" spans="1:31" x14ac:dyDescent="0.3">
      <c r="A29" s="2" t="s">
        <v>146</v>
      </c>
      <c r="B29" s="3">
        <v>368181</v>
      </c>
      <c r="C29" s="3">
        <v>590476</v>
      </c>
      <c r="D29" s="3">
        <v>468650281.24158233</v>
      </c>
      <c r="E29" s="3">
        <v>5285</v>
      </c>
      <c r="F29" s="3">
        <v>12380</v>
      </c>
      <c r="G29" s="3">
        <v>300</v>
      </c>
      <c r="H29" s="3">
        <v>0</v>
      </c>
      <c r="I29" s="3">
        <v>0</v>
      </c>
      <c r="J29" s="3">
        <v>0</v>
      </c>
      <c r="M29" s="3">
        <v>5992072.1044557989</v>
      </c>
      <c r="N29" s="3">
        <v>0</v>
      </c>
      <c r="O29" s="3">
        <v>0</v>
      </c>
      <c r="P29" s="3">
        <v>0</v>
      </c>
      <c r="Q29" s="3">
        <v>5066402.8658201797</v>
      </c>
      <c r="R29" s="3">
        <v>0</v>
      </c>
      <c r="S29" s="3">
        <v>0</v>
      </c>
      <c r="T29" s="3">
        <v>8844891629.1920967</v>
      </c>
      <c r="U29" s="3">
        <v>27424864.615658566</v>
      </c>
      <c r="V29" s="3">
        <v>149000</v>
      </c>
      <c r="W29" s="3">
        <v>0</v>
      </c>
      <c r="X29" s="3">
        <v>0</v>
      </c>
      <c r="Y29" s="3">
        <v>0</v>
      </c>
      <c r="AE29" s="3">
        <v>0</v>
      </c>
    </row>
    <row r="30" spans="1:31" x14ac:dyDescent="0.3">
      <c r="A30" s="2" t="s">
        <v>146</v>
      </c>
      <c r="B30" s="3">
        <v>125000</v>
      </c>
      <c r="C30" s="3">
        <v>46000</v>
      </c>
      <c r="D30" s="3">
        <v>507308077.41039062</v>
      </c>
      <c r="E30" s="3">
        <v>4290</v>
      </c>
      <c r="F30" s="3">
        <v>58600</v>
      </c>
      <c r="G30" s="3">
        <v>213.63636363636365</v>
      </c>
      <c r="H30" s="3">
        <v>0</v>
      </c>
      <c r="I30" s="3">
        <v>0</v>
      </c>
      <c r="J30" s="3">
        <v>10</v>
      </c>
      <c r="K30" s="3">
        <v>1150000</v>
      </c>
      <c r="L30" s="3">
        <v>1600000</v>
      </c>
      <c r="M30" s="3">
        <v>12050000</v>
      </c>
      <c r="N30" s="3">
        <v>0</v>
      </c>
      <c r="O30" s="3">
        <v>0</v>
      </c>
      <c r="P30" s="3">
        <v>0</v>
      </c>
      <c r="Q30" s="3">
        <v>24322709.901823178</v>
      </c>
      <c r="R30" s="3">
        <v>366.60605559646717</v>
      </c>
      <c r="S30" s="3">
        <v>0</v>
      </c>
      <c r="T30" s="3">
        <v>1808688414.0010052</v>
      </c>
      <c r="U30" s="3">
        <v>19071352.553954419</v>
      </c>
      <c r="V30" s="3">
        <v>420000</v>
      </c>
      <c r="W30" s="3">
        <v>0</v>
      </c>
      <c r="X30" s="3">
        <v>0</v>
      </c>
      <c r="Y30" s="3">
        <v>20600</v>
      </c>
      <c r="Z30" s="3">
        <v>89</v>
      </c>
      <c r="AA30" s="3">
        <v>340</v>
      </c>
      <c r="AB30" s="3">
        <v>0</v>
      </c>
      <c r="AC30" s="3">
        <v>170</v>
      </c>
      <c r="AD30" s="3">
        <v>36800</v>
      </c>
      <c r="AE30" s="3">
        <v>73600</v>
      </c>
    </row>
    <row r="31" spans="1:31" x14ac:dyDescent="0.3">
      <c r="A31" s="2" t="s">
        <v>146</v>
      </c>
      <c r="B31" s="3">
        <v>249000</v>
      </c>
      <c r="C31" s="3">
        <v>189000</v>
      </c>
      <c r="D31" s="3">
        <v>2270773468.3897295</v>
      </c>
      <c r="E31" s="3">
        <v>9650</v>
      </c>
      <c r="F31" s="3">
        <v>500000</v>
      </c>
      <c r="G31" s="3">
        <v>1854.5454545454545</v>
      </c>
      <c r="H31" s="3">
        <v>0</v>
      </c>
      <c r="I31" s="3">
        <v>10</v>
      </c>
      <c r="J31" s="3">
        <v>280</v>
      </c>
      <c r="K31" s="3">
        <v>4910000</v>
      </c>
      <c r="L31" s="3">
        <v>8550000</v>
      </c>
      <c r="M31" s="3">
        <v>17300000</v>
      </c>
      <c r="N31" s="3">
        <v>0</v>
      </c>
      <c r="O31" s="3">
        <v>0</v>
      </c>
      <c r="P31" s="3">
        <v>0</v>
      </c>
      <c r="Q31" s="3">
        <v>44348298.29223308</v>
      </c>
      <c r="R31" s="3">
        <v>0</v>
      </c>
      <c r="S31" s="3">
        <v>7436.1280247182403</v>
      </c>
      <c r="T31" s="3">
        <v>5253157656.3434629</v>
      </c>
      <c r="U31" s="3">
        <v>61724384.250219226</v>
      </c>
      <c r="V31" s="3">
        <v>476000</v>
      </c>
      <c r="W31" s="3">
        <v>0</v>
      </c>
      <c r="X31" s="3">
        <v>131000</v>
      </c>
      <c r="Y31" s="3">
        <v>108000</v>
      </c>
      <c r="Z31" s="3">
        <v>250</v>
      </c>
      <c r="AA31" s="3">
        <v>960</v>
      </c>
      <c r="AB31" s="3">
        <v>0</v>
      </c>
      <c r="AC31" s="3">
        <v>450</v>
      </c>
      <c r="AD31" s="3">
        <v>231000</v>
      </c>
      <c r="AE31" s="3">
        <v>120000</v>
      </c>
    </row>
    <row r="32" spans="1:31" x14ac:dyDescent="0.3">
      <c r="A32" s="2" t="s">
        <v>144</v>
      </c>
      <c r="B32" s="3">
        <v>9360</v>
      </c>
      <c r="C32" s="3">
        <v>291</v>
      </c>
      <c r="D32" s="3">
        <v>42722345.166538015</v>
      </c>
      <c r="E32" s="3">
        <v>118</v>
      </c>
      <c r="F32" s="3">
        <v>709</v>
      </c>
      <c r="G32" s="3">
        <v>0</v>
      </c>
      <c r="H32" s="3">
        <v>0</v>
      </c>
      <c r="I32" s="3">
        <v>0</v>
      </c>
      <c r="J32" s="3">
        <v>0</v>
      </c>
      <c r="K32" s="3">
        <v>2820</v>
      </c>
      <c r="L32" s="3">
        <v>564000</v>
      </c>
      <c r="M32" s="3">
        <v>0</v>
      </c>
      <c r="N32" s="3">
        <v>0</v>
      </c>
      <c r="O32" s="3">
        <v>0</v>
      </c>
      <c r="P32" s="3">
        <v>0</v>
      </c>
      <c r="Q32" s="3">
        <v>20168191.667486846</v>
      </c>
      <c r="R32" s="3">
        <v>168442454.97621077</v>
      </c>
      <c r="S32" s="3">
        <v>0</v>
      </c>
      <c r="T32" s="3">
        <v>5243269178.0351543</v>
      </c>
      <c r="U32" s="3">
        <v>0</v>
      </c>
      <c r="V32" s="3">
        <v>534000</v>
      </c>
      <c r="W32" s="3">
        <v>384000</v>
      </c>
      <c r="X32" s="3">
        <v>0</v>
      </c>
      <c r="Y32" s="3">
        <v>0</v>
      </c>
      <c r="Z32" s="3">
        <v>240</v>
      </c>
      <c r="AA32" s="3">
        <v>910</v>
      </c>
      <c r="AB32" s="3">
        <v>0</v>
      </c>
      <c r="AC32" s="3">
        <v>340</v>
      </c>
      <c r="AD32" s="3">
        <v>0</v>
      </c>
      <c r="AE32" s="3">
        <v>0</v>
      </c>
    </row>
    <row r="33" spans="1:31" x14ac:dyDescent="0.3">
      <c r="A33" s="2" t="s">
        <v>147</v>
      </c>
      <c r="B33" s="3">
        <v>5180000</v>
      </c>
      <c r="C33" s="3">
        <v>1260000</v>
      </c>
      <c r="D33" s="3">
        <v>233990612.06568393</v>
      </c>
      <c r="E33" s="3">
        <v>4180</v>
      </c>
      <c r="F33" s="3">
        <v>207000</v>
      </c>
      <c r="G33" s="3">
        <v>0</v>
      </c>
      <c r="H33" s="3">
        <v>0</v>
      </c>
      <c r="I33" s="3">
        <v>0</v>
      </c>
      <c r="J33" s="3">
        <v>0</v>
      </c>
      <c r="K33" s="3">
        <v>3000000</v>
      </c>
      <c r="L33" s="3">
        <v>7550000</v>
      </c>
      <c r="M33" s="3">
        <v>0</v>
      </c>
      <c r="N33" s="3">
        <v>0</v>
      </c>
      <c r="O33" s="3">
        <v>0</v>
      </c>
      <c r="P33" s="3">
        <v>109937.50582536204</v>
      </c>
      <c r="Q33" s="3">
        <v>4933747.9617458405</v>
      </c>
      <c r="R33" s="3">
        <v>0</v>
      </c>
      <c r="S33" s="3">
        <v>8979.9777282574596</v>
      </c>
      <c r="T33" s="3">
        <v>54100361.564073667</v>
      </c>
      <c r="U33" s="3">
        <v>0</v>
      </c>
      <c r="V33" s="3">
        <v>0</v>
      </c>
      <c r="W33" s="3">
        <v>0</v>
      </c>
      <c r="X33" s="3">
        <v>0</v>
      </c>
      <c r="Y33" s="3">
        <v>29600000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1:31" x14ac:dyDescent="0.3">
      <c r="A34" s="2" t="s">
        <v>146</v>
      </c>
      <c r="B34" s="3">
        <v>486000</v>
      </c>
      <c r="C34" s="3">
        <v>226000</v>
      </c>
      <c r="D34" s="3">
        <v>467141721.03652483</v>
      </c>
      <c r="E34" s="3">
        <v>10800</v>
      </c>
      <c r="F34" s="3">
        <v>141000</v>
      </c>
      <c r="G34" s="3">
        <v>0</v>
      </c>
      <c r="H34" s="3">
        <v>0</v>
      </c>
      <c r="I34" s="3">
        <v>0</v>
      </c>
      <c r="J34" s="3">
        <v>0</v>
      </c>
      <c r="K34" s="3">
        <v>4050000</v>
      </c>
      <c r="L34" s="3">
        <v>7030000</v>
      </c>
      <c r="M34" s="3">
        <v>21350000</v>
      </c>
      <c r="N34" s="3">
        <v>0</v>
      </c>
      <c r="O34" s="3">
        <v>0</v>
      </c>
      <c r="P34" s="3">
        <v>0</v>
      </c>
      <c r="Q34" s="3">
        <v>61252943.006175727</v>
      </c>
      <c r="R34" s="3">
        <v>0</v>
      </c>
      <c r="S34" s="3">
        <v>0</v>
      </c>
      <c r="T34" s="3">
        <v>5935169611.4400635</v>
      </c>
      <c r="U34" s="3">
        <v>49903885.940345965</v>
      </c>
      <c r="V34" s="3">
        <v>588000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237200</v>
      </c>
    </row>
    <row r="35" spans="1:31" x14ac:dyDescent="0.3">
      <c r="A35" s="2" t="s">
        <v>144</v>
      </c>
      <c r="B35" s="3">
        <v>38200</v>
      </c>
      <c r="C35" s="3">
        <v>7400</v>
      </c>
      <c r="D35" s="3">
        <v>44345581.61464116</v>
      </c>
      <c r="E35" s="3">
        <v>155</v>
      </c>
      <c r="F35" s="3">
        <v>27</v>
      </c>
      <c r="G35" s="3">
        <v>0</v>
      </c>
      <c r="H35" s="3">
        <v>0</v>
      </c>
      <c r="I35" s="3">
        <v>0</v>
      </c>
      <c r="J35" s="3">
        <v>0</v>
      </c>
      <c r="K35" s="3">
        <v>10500</v>
      </c>
      <c r="L35" s="3">
        <v>13800</v>
      </c>
      <c r="M35" s="3">
        <v>0</v>
      </c>
      <c r="N35" s="3">
        <v>0</v>
      </c>
      <c r="O35" s="3">
        <v>0</v>
      </c>
      <c r="P35" s="3">
        <v>0</v>
      </c>
      <c r="Q35" s="3">
        <v>21934713.183826637</v>
      </c>
      <c r="R35" s="3">
        <v>347569992.32127964</v>
      </c>
      <c r="S35" s="3">
        <v>0</v>
      </c>
      <c r="T35" s="3">
        <v>5850967600</v>
      </c>
      <c r="U35" s="3">
        <v>0</v>
      </c>
      <c r="V35" s="3">
        <v>402000</v>
      </c>
      <c r="W35" s="3">
        <v>5900000</v>
      </c>
      <c r="X35" s="3">
        <v>30400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6" spans="1:31" x14ac:dyDescent="0.3">
      <c r="A36" s="2" t="s">
        <v>145</v>
      </c>
      <c r="B36" s="3">
        <v>255000</v>
      </c>
      <c r="C36" s="3">
        <v>8800</v>
      </c>
      <c r="D36" s="3">
        <v>129563854.3992143</v>
      </c>
      <c r="E36" s="3">
        <v>1910</v>
      </c>
      <c r="F36" s="3">
        <v>32700</v>
      </c>
      <c r="G36" s="3">
        <v>0</v>
      </c>
      <c r="H36" s="3">
        <v>0</v>
      </c>
      <c r="I36" s="3">
        <v>0</v>
      </c>
      <c r="J36" s="3">
        <v>0</v>
      </c>
      <c r="K36" s="3">
        <v>47300</v>
      </c>
      <c r="L36" s="3">
        <v>473000</v>
      </c>
      <c r="M36" s="3">
        <v>0</v>
      </c>
      <c r="N36" s="3">
        <v>10150000</v>
      </c>
      <c r="O36" s="3">
        <v>0</v>
      </c>
      <c r="P36" s="3">
        <v>0</v>
      </c>
      <c r="Q36" s="3">
        <v>26113612.780120824</v>
      </c>
      <c r="R36" s="3">
        <v>0</v>
      </c>
      <c r="S36" s="3">
        <v>453828457.24036658</v>
      </c>
      <c r="T36" s="3">
        <v>8854387719.2714615</v>
      </c>
      <c r="U36" s="3">
        <v>0</v>
      </c>
      <c r="V36" s="3">
        <v>0</v>
      </c>
      <c r="W36" s="3">
        <v>0</v>
      </c>
      <c r="X36" s="3">
        <v>1150000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</row>
    <row r="37" spans="1:31" x14ac:dyDescent="0.3">
      <c r="A37" s="2" t="s">
        <v>147</v>
      </c>
      <c r="B37" s="3">
        <v>1910000</v>
      </c>
      <c r="C37" s="3">
        <v>330000</v>
      </c>
      <c r="D37" s="3">
        <v>25141313.664325498</v>
      </c>
      <c r="E37" s="3">
        <v>70</v>
      </c>
      <c r="F37" s="3">
        <v>4360</v>
      </c>
      <c r="G37" s="3">
        <v>0</v>
      </c>
      <c r="H37" s="3">
        <v>0</v>
      </c>
      <c r="I37" s="3">
        <v>0</v>
      </c>
      <c r="J37" s="3">
        <v>0</v>
      </c>
      <c r="K37" s="3">
        <v>11200000</v>
      </c>
      <c r="L37" s="3">
        <v>12300000</v>
      </c>
      <c r="M37" s="3">
        <v>0</v>
      </c>
      <c r="N37" s="3">
        <v>0</v>
      </c>
      <c r="O37" s="3">
        <v>0</v>
      </c>
      <c r="P37" s="3">
        <v>0</v>
      </c>
      <c r="Q37" s="3">
        <v>15778908.580987513</v>
      </c>
      <c r="R37" s="3">
        <v>0</v>
      </c>
      <c r="S37" s="3">
        <v>0</v>
      </c>
      <c r="T37" s="3">
        <v>24943474.398054495</v>
      </c>
      <c r="U37" s="3">
        <v>0</v>
      </c>
      <c r="V37" s="3">
        <v>0</v>
      </c>
      <c r="W37" s="3">
        <v>0</v>
      </c>
      <c r="X37" s="3">
        <v>0</v>
      </c>
      <c r="Y37" s="3">
        <v>1000000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</row>
    <row r="38" spans="1:31" x14ac:dyDescent="0.3">
      <c r="A38" s="2" t="s">
        <v>146</v>
      </c>
      <c r="B38" s="3">
        <v>203000</v>
      </c>
      <c r="C38" s="3">
        <v>84500</v>
      </c>
      <c r="D38" s="3">
        <v>1150929118.015892</v>
      </c>
      <c r="E38" s="3">
        <v>7840</v>
      </c>
      <c r="F38" s="3">
        <v>636000</v>
      </c>
      <c r="G38" s="3">
        <v>3450</v>
      </c>
      <c r="H38" s="3">
        <v>0</v>
      </c>
      <c r="I38" s="3">
        <v>100</v>
      </c>
      <c r="J38" s="3">
        <v>220</v>
      </c>
      <c r="K38" s="3">
        <v>4450000</v>
      </c>
      <c r="L38" s="3">
        <v>5770000</v>
      </c>
      <c r="M38" s="3">
        <v>20500000</v>
      </c>
      <c r="N38" s="3">
        <v>0</v>
      </c>
      <c r="O38" s="3">
        <v>0</v>
      </c>
      <c r="P38" s="3">
        <v>0</v>
      </c>
      <c r="Q38" s="3">
        <v>16191868.197027106</v>
      </c>
      <c r="R38" s="3">
        <v>0</v>
      </c>
      <c r="S38" s="3">
        <v>0</v>
      </c>
      <c r="T38" s="3">
        <v>2341681054.6921201</v>
      </c>
      <c r="U38" s="3">
        <v>23977415.117895924</v>
      </c>
      <c r="V38" s="3">
        <v>748000</v>
      </c>
      <c r="W38" s="3">
        <v>0</v>
      </c>
      <c r="X38" s="3">
        <v>0</v>
      </c>
      <c r="Y38" s="3">
        <v>0</v>
      </c>
      <c r="Z38" s="3">
        <v>180</v>
      </c>
      <c r="AA38" s="3">
        <v>400</v>
      </c>
      <c r="AB38" s="3">
        <v>0</v>
      </c>
      <c r="AC38" s="3">
        <v>160</v>
      </c>
      <c r="AD38" s="3">
        <v>67500</v>
      </c>
      <c r="AE38" s="3">
        <v>43200</v>
      </c>
    </row>
    <row r="39" spans="1:31" x14ac:dyDescent="0.3">
      <c r="A39" s="2" t="s">
        <v>146</v>
      </c>
      <c r="B39" s="3">
        <v>491000</v>
      </c>
      <c r="C39" s="3">
        <v>135000</v>
      </c>
      <c r="D39" s="3">
        <v>2237085414.5401874</v>
      </c>
      <c r="E39" s="3">
        <v>6560</v>
      </c>
      <c r="F39" s="3">
        <v>131000</v>
      </c>
      <c r="G39" s="3">
        <v>7659.090909090909</v>
      </c>
      <c r="H39" s="3">
        <v>0</v>
      </c>
      <c r="I39" s="3">
        <v>5</v>
      </c>
      <c r="J39" s="3">
        <v>145</v>
      </c>
      <c r="K39" s="3">
        <v>2180000</v>
      </c>
      <c r="L39" s="3">
        <v>3910000</v>
      </c>
      <c r="M39" s="3">
        <v>8650000</v>
      </c>
      <c r="N39" s="3">
        <v>0</v>
      </c>
      <c r="O39" s="3">
        <v>0</v>
      </c>
      <c r="P39" s="3">
        <v>0</v>
      </c>
      <c r="Q39" s="3">
        <v>92011468.055654109</v>
      </c>
      <c r="R39" s="3">
        <v>0</v>
      </c>
      <c r="S39" s="3">
        <v>13623.039308465641</v>
      </c>
      <c r="T39" s="3">
        <v>1913209451.2543974</v>
      </c>
      <c r="U39" s="3">
        <v>37454404.39176783</v>
      </c>
      <c r="V39" s="3">
        <v>894000</v>
      </c>
      <c r="W39" s="3">
        <v>0</v>
      </c>
      <c r="X39" s="3">
        <v>22200</v>
      </c>
      <c r="Y39" s="3">
        <v>19200</v>
      </c>
      <c r="Z39" s="3">
        <v>260</v>
      </c>
      <c r="AA39" s="3">
        <v>770</v>
      </c>
      <c r="AB39" s="3">
        <v>0</v>
      </c>
      <c r="AC39" s="3">
        <v>330</v>
      </c>
      <c r="AD39" s="3">
        <v>71300</v>
      </c>
      <c r="AE39" s="3">
        <v>61200</v>
      </c>
    </row>
    <row r="40" spans="1:31" x14ac:dyDescent="0.3">
      <c r="A40" s="2" t="s">
        <v>148</v>
      </c>
      <c r="B40" s="3">
        <v>290000</v>
      </c>
      <c r="C40" s="3">
        <v>29000</v>
      </c>
      <c r="D40" s="3">
        <v>1628625.854148214</v>
      </c>
      <c r="E40" s="3">
        <v>10</v>
      </c>
      <c r="F40" s="3">
        <v>315000</v>
      </c>
      <c r="G40" s="3">
        <v>0</v>
      </c>
      <c r="H40" s="3">
        <v>0</v>
      </c>
      <c r="I40" s="3">
        <v>0</v>
      </c>
      <c r="J40" s="3">
        <v>0</v>
      </c>
      <c r="K40" s="3">
        <v>327000</v>
      </c>
      <c r="L40" s="3">
        <v>11100000</v>
      </c>
      <c r="M40" s="3">
        <v>0</v>
      </c>
      <c r="N40" s="3">
        <v>0</v>
      </c>
      <c r="O40" s="3">
        <v>0</v>
      </c>
      <c r="P40" s="3">
        <v>0</v>
      </c>
      <c r="Q40" s="3">
        <v>23247537.663386051</v>
      </c>
      <c r="R40" s="3">
        <v>0</v>
      </c>
      <c r="S40" s="3">
        <v>0</v>
      </c>
      <c r="T40" s="3">
        <v>6548774252.5001125</v>
      </c>
      <c r="U40" s="3">
        <v>0</v>
      </c>
      <c r="V40" s="3">
        <v>784000</v>
      </c>
      <c r="W40" s="3">
        <v>0</v>
      </c>
      <c r="X40" s="3">
        <v>17300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</row>
    <row r="41" spans="1:31" x14ac:dyDescent="0.3">
      <c r="A41" s="2" t="s">
        <v>144</v>
      </c>
      <c r="B41" s="3">
        <v>9090000</v>
      </c>
      <c r="C41" s="3">
        <v>8100</v>
      </c>
      <c r="D41" s="3">
        <v>34514780.444070622</v>
      </c>
      <c r="E41" s="3">
        <v>10</v>
      </c>
      <c r="F41" s="3">
        <v>5640</v>
      </c>
      <c r="G41" s="3">
        <v>0</v>
      </c>
      <c r="H41" s="3">
        <v>0</v>
      </c>
      <c r="I41" s="3">
        <v>0</v>
      </c>
      <c r="J41" s="3">
        <v>0</v>
      </c>
      <c r="K41" s="3">
        <v>54500</v>
      </c>
      <c r="L41" s="3">
        <v>1650000</v>
      </c>
      <c r="M41" s="3">
        <v>54500000</v>
      </c>
      <c r="N41" s="3">
        <v>0</v>
      </c>
      <c r="O41" s="3">
        <v>0</v>
      </c>
      <c r="P41" s="3">
        <v>0</v>
      </c>
      <c r="Q41" s="3">
        <v>322115749.71475077</v>
      </c>
      <c r="R41" s="3">
        <v>548896190.93953335</v>
      </c>
      <c r="S41" s="3">
        <v>0</v>
      </c>
      <c r="T41" s="3">
        <v>5580049966.6704664</v>
      </c>
      <c r="U41" s="3">
        <v>0</v>
      </c>
      <c r="V41" s="3">
        <v>450000</v>
      </c>
      <c r="W41" s="3">
        <v>9120000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1:31" x14ac:dyDescent="0.3">
      <c r="A42" s="2" t="s">
        <v>145</v>
      </c>
      <c r="B42" s="3">
        <v>4000000</v>
      </c>
      <c r="C42" s="3">
        <v>2430000</v>
      </c>
      <c r="D42" s="3">
        <v>13283357.802694317</v>
      </c>
      <c r="E42" s="3">
        <v>10</v>
      </c>
      <c r="F42" s="3">
        <v>564000</v>
      </c>
      <c r="G42" s="3">
        <v>0</v>
      </c>
      <c r="H42" s="3">
        <v>0</v>
      </c>
      <c r="I42" s="3">
        <v>0</v>
      </c>
      <c r="J42" s="3">
        <v>0</v>
      </c>
      <c r="K42" s="3">
        <v>3690000</v>
      </c>
      <c r="L42" s="3">
        <v>3690000</v>
      </c>
      <c r="M42" s="3">
        <v>2095289.1301662601</v>
      </c>
      <c r="N42" s="3">
        <v>0</v>
      </c>
      <c r="O42" s="3">
        <v>1760000</v>
      </c>
      <c r="P42" s="3">
        <v>0</v>
      </c>
      <c r="Q42" s="3">
        <v>35835375.534120768</v>
      </c>
      <c r="R42" s="3">
        <v>0</v>
      </c>
      <c r="S42" s="3">
        <v>1172806034.1142724</v>
      </c>
      <c r="T42" s="3">
        <v>19947197915.15398</v>
      </c>
      <c r="U42" s="3">
        <v>0</v>
      </c>
      <c r="V42" s="3">
        <v>0</v>
      </c>
      <c r="W42" s="3">
        <v>0</v>
      </c>
      <c r="X42" s="3">
        <v>1020000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1:31" x14ac:dyDescent="0.3">
      <c r="A43" s="2" t="s">
        <v>146</v>
      </c>
      <c r="B43" s="3">
        <v>198000</v>
      </c>
      <c r="C43" s="3">
        <v>46000</v>
      </c>
      <c r="D43" s="3">
        <v>670421546.65162718</v>
      </c>
      <c r="E43" s="3">
        <v>2620</v>
      </c>
      <c r="F43" s="3">
        <v>245000</v>
      </c>
      <c r="G43" s="3">
        <v>440.90909090909088</v>
      </c>
      <c r="H43" s="3">
        <v>0</v>
      </c>
      <c r="I43" s="3">
        <v>0</v>
      </c>
      <c r="J43" s="3">
        <v>0</v>
      </c>
      <c r="K43" s="3">
        <v>360000</v>
      </c>
      <c r="L43" s="3">
        <v>1570000</v>
      </c>
      <c r="M43" s="3">
        <v>1268851.9749404001</v>
      </c>
      <c r="N43" s="3">
        <v>0</v>
      </c>
      <c r="O43" s="3">
        <v>0</v>
      </c>
      <c r="P43" s="3">
        <v>0</v>
      </c>
      <c r="Q43" s="3">
        <v>44924883.543795675</v>
      </c>
      <c r="R43" s="3">
        <v>0</v>
      </c>
      <c r="S43" s="3">
        <v>0</v>
      </c>
      <c r="T43" s="3">
        <v>1330745212.2237892</v>
      </c>
      <c r="U43" s="3">
        <v>24681204.831024636</v>
      </c>
      <c r="V43" s="3">
        <v>1690000</v>
      </c>
      <c r="W43" s="3">
        <v>0</v>
      </c>
      <c r="X43" s="3">
        <v>0</v>
      </c>
      <c r="Y43" s="3">
        <v>0</v>
      </c>
      <c r="Z43" s="3">
        <v>140</v>
      </c>
      <c r="AA43" s="3">
        <v>540</v>
      </c>
      <c r="AB43" s="3">
        <v>0</v>
      </c>
      <c r="AC43" s="3">
        <v>210</v>
      </c>
      <c r="AD43" s="3">
        <v>19700</v>
      </c>
      <c r="AE43" s="3">
        <v>11200</v>
      </c>
    </row>
    <row r="44" spans="1:31" x14ac:dyDescent="0.3">
      <c r="A44" s="2" t="s">
        <v>146</v>
      </c>
      <c r="B44" s="3">
        <v>327000</v>
      </c>
      <c r="C44" s="3">
        <v>92700</v>
      </c>
      <c r="D44" s="3">
        <v>537771501.40739739</v>
      </c>
      <c r="E44" s="3">
        <v>7570</v>
      </c>
      <c r="F44" s="3">
        <v>418000</v>
      </c>
      <c r="G44" s="3">
        <v>2472.7272727272725</v>
      </c>
      <c r="H44" s="3">
        <v>0</v>
      </c>
      <c r="I44" s="3">
        <v>0</v>
      </c>
      <c r="J44" s="3">
        <v>5</v>
      </c>
      <c r="K44" s="3">
        <v>2820000</v>
      </c>
      <c r="L44" s="3">
        <v>4640000</v>
      </c>
      <c r="M44" s="3">
        <v>1129533.0945774601</v>
      </c>
      <c r="N44" s="3">
        <v>0</v>
      </c>
      <c r="O44" s="3">
        <v>0</v>
      </c>
      <c r="P44" s="3">
        <v>0</v>
      </c>
      <c r="Q44" s="3">
        <v>173273425.0185807</v>
      </c>
      <c r="R44" s="3">
        <v>0</v>
      </c>
      <c r="S44" s="3">
        <v>0</v>
      </c>
      <c r="T44" s="3">
        <v>3215549866.1815114</v>
      </c>
      <c r="U44" s="3">
        <v>24771886.621434502</v>
      </c>
      <c r="V44" s="3">
        <v>176000</v>
      </c>
      <c r="W44" s="3">
        <v>0</v>
      </c>
      <c r="X44" s="3">
        <v>0</v>
      </c>
      <c r="Y44" s="3">
        <v>0</v>
      </c>
      <c r="Z44" s="3">
        <v>260</v>
      </c>
      <c r="AA44" s="3">
        <v>520</v>
      </c>
      <c r="AB44" s="3">
        <v>0</v>
      </c>
      <c r="AC44" s="3">
        <v>290</v>
      </c>
      <c r="AD44" s="3">
        <v>787000</v>
      </c>
      <c r="AE44" s="3">
        <v>25200</v>
      </c>
    </row>
    <row r="45" spans="1:31" x14ac:dyDescent="0.3">
      <c r="A45" s="2" t="s">
        <v>145</v>
      </c>
      <c r="B45" s="3">
        <v>1520000</v>
      </c>
      <c r="C45" s="3">
        <v>29000</v>
      </c>
      <c r="D45" s="3">
        <v>1074518.1614100342</v>
      </c>
      <c r="E45" s="3">
        <v>3450</v>
      </c>
      <c r="F45" s="3">
        <v>10</v>
      </c>
      <c r="G45" s="3">
        <v>0</v>
      </c>
      <c r="H45" s="3">
        <v>0</v>
      </c>
      <c r="I45" s="3">
        <v>0</v>
      </c>
      <c r="J45" s="3">
        <v>0</v>
      </c>
      <c r="K45" s="3">
        <v>236000</v>
      </c>
      <c r="L45" s="3">
        <v>423000</v>
      </c>
      <c r="M45" s="3">
        <v>1278109.1971108699</v>
      </c>
      <c r="N45" s="3">
        <v>0</v>
      </c>
      <c r="O45" s="3">
        <v>0</v>
      </c>
      <c r="P45" s="3">
        <v>0</v>
      </c>
      <c r="Q45" s="3">
        <v>93207736.176381797</v>
      </c>
      <c r="R45" s="3">
        <v>0</v>
      </c>
      <c r="S45" s="3">
        <v>219791352.83544528</v>
      </c>
      <c r="T45" s="3">
        <v>1756293450.5785255</v>
      </c>
      <c r="U45" s="3">
        <v>0</v>
      </c>
      <c r="V45" s="3">
        <v>0</v>
      </c>
      <c r="W45" s="3">
        <v>0</v>
      </c>
      <c r="X45" s="3">
        <v>1090000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1:31" x14ac:dyDescent="0.3">
      <c r="A46" s="2" t="s">
        <v>148</v>
      </c>
      <c r="B46" s="3">
        <v>3180000</v>
      </c>
      <c r="C46" s="3">
        <v>8380</v>
      </c>
      <c r="D46" s="3">
        <v>36392527.86625848</v>
      </c>
      <c r="E46" s="3">
        <v>10</v>
      </c>
      <c r="F46" s="3">
        <v>2270</v>
      </c>
      <c r="G46" s="3">
        <v>0</v>
      </c>
      <c r="H46" s="3">
        <v>0</v>
      </c>
      <c r="I46" s="3">
        <v>0</v>
      </c>
      <c r="J46" s="3">
        <v>0</v>
      </c>
      <c r="K46" s="3">
        <v>273000</v>
      </c>
      <c r="L46" s="3">
        <v>1080000</v>
      </c>
      <c r="M46" s="3">
        <v>0</v>
      </c>
      <c r="N46" s="3">
        <v>0</v>
      </c>
      <c r="O46" s="3">
        <v>0</v>
      </c>
      <c r="P46" s="3">
        <v>0</v>
      </c>
      <c r="Q46" s="3">
        <v>69699066.256363705</v>
      </c>
      <c r="R46" s="3">
        <v>0</v>
      </c>
      <c r="S46" s="3">
        <v>0</v>
      </c>
      <c r="T46" s="3">
        <v>4295704365.525671</v>
      </c>
      <c r="U46" s="3">
        <v>279.07619031368478</v>
      </c>
      <c r="V46" s="3">
        <v>29800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1:31" x14ac:dyDescent="0.3">
      <c r="A47" s="2" t="s">
        <v>146</v>
      </c>
      <c r="B47" s="3">
        <v>315000</v>
      </c>
      <c r="C47" s="3">
        <v>186000</v>
      </c>
      <c r="D47" s="3">
        <v>17174456.295603655</v>
      </c>
      <c r="E47" s="3">
        <v>20800</v>
      </c>
      <c r="F47" s="3">
        <v>26500</v>
      </c>
      <c r="G47" s="3">
        <v>495.45454545454538</v>
      </c>
      <c r="H47" s="3">
        <v>0</v>
      </c>
      <c r="I47" s="3">
        <v>0</v>
      </c>
      <c r="J47" s="3">
        <v>0</v>
      </c>
      <c r="K47" s="3">
        <v>2750000</v>
      </c>
      <c r="L47" s="3">
        <v>2750000</v>
      </c>
      <c r="M47" s="3">
        <v>33250000</v>
      </c>
      <c r="N47" s="3">
        <v>0</v>
      </c>
      <c r="O47" s="3">
        <v>0</v>
      </c>
      <c r="P47" s="3">
        <v>0</v>
      </c>
      <c r="Q47" s="3">
        <v>43497265.954598941</v>
      </c>
      <c r="R47" s="3">
        <v>0</v>
      </c>
      <c r="S47" s="3">
        <v>0</v>
      </c>
      <c r="T47" s="3">
        <v>35694910.651598498</v>
      </c>
      <c r="U47" s="3">
        <v>476043.79013363889</v>
      </c>
      <c r="V47" s="3">
        <v>123000</v>
      </c>
      <c r="W47" s="3">
        <v>0</v>
      </c>
      <c r="X47" s="3">
        <v>0</v>
      </c>
      <c r="Y47" s="3">
        <v>0</v>
      </c>
      <c r="Z47" s="3">
        <v>310</v>
      </c>
      <c r="AA47" s="3">
        <v>280</v>
      </c>
      <c r="AB47" s="3">
        <v>0</v>
      </c>
      <c r="AC47" s="3">
        <v>110</v>
      </c>
      <c r="AD47" s="3">
        <v>202000</v>
      </c>
      <c r="AE47" s="3">
        <v>0</v>
      </c>
    </row>
    <row r="48" spans="1:31" x14ac:dyDescent="0.3">
      <c r="A48" s="2" t="s">
        <v>145</v>
      </c>
      <c r="B48" s="3">
        <v>2530000</v>
      </c>
      <c r="C48" s="3">
        <v>900000</v>
      </c>
      <c r="D48" s="3">
        <v>1366055943.9920857</v>
      </c>
      <c r="E48" s="3">
        <v>2070000</v>
      </c>
      <c r="F48" s="3">
        <v>5700000</v>
      </c>
      <c r="G48" s="3">
        <v>0</v>
      </c>
      <c r="H48" s="3">
        <v>0</v>
      </c>
      <c r="I48" s="3">
        <v>895.45454545454538</v>
      </c>
      <c r="J48" s="3">
        <v>0</v>
      </c>
      <c r="K48" s="3">
        <v>300000</v>
      </c>
      <c r="L48" s="3">
        <v>8800000</v>
      </c>
      <c r="M48" s="3">
        <v>0</v>
      </c>
      <c r="N48" s="3">
        <v>0</v>
      </c>
      <c r="O48" s="3">
        <v>0</v>
      </c>
      <c r="P48" s="3">
        <v>0</v>
      </c>
      <c r="Q48" s="3">
        <v>62451368.565334558</v>
      </c>
      <c r="R48" s="3">
        <v>0</v>
      </c>
      <c r="S48" s="3">
        <v>6858996897.270154</v>
      </c>
      <c r="T48" s="3">
        <v>39066171632.915565</v>
      </c>
      <c r="U48" s="3">
        <v>0</v>
      </c>
      <c r="V48" s="3">
        <v>43000</v>
      </c>
      <c r="W48" s="3">
        <v>0</v>
      </c>
      <c r="X48" s="3">
        <v>6580000</v>
      </c>
      <c r="Y48" s="3">
        <v>0</v>
      </c>
      <c r="Z48" s="3">
        <v>51</v>
      </c>
      <c r="AA48" s="3">
        <v>71</v>
      </c>
      <c r="AB48" s="3">
        <v>0</v>
      </c>
      <c r="AC48" s="3">
        <v>120</v>
      </c>
      <c r="AD48" s="3">
        <v>0</v>
      </c>
      <c r="AE48" s="3">
        <v>64800</v>
      </c>
    </row>
    <row r="49" spans="1:31" x14ac:dyDescent="0.3">
      <c r="A49" s="2" t="s">
        <v>144</v>
      </c>
      <c r="B49" s="3">
        <v>9650000</v>
      </c>
      <c r="C49" s="3">
        <v>950000</v>
      </c>
      <c r="D49" s="3">
        <v>22093829850.340492</v>
      </c>
      <c r="E49" s="3">
        <v>271000</v>
      </c>
      <c r="F49" s="3">
        <v>2660000</v>
      </c>
      <c r="G49" s="3">
        <v>0</v>
      </c>
      <c r="H49" s="3">
        <v>0</v>
      </c>
      <c r="I49" s="3">
        <v>0</v>
      </c>
      <c r="J49" s="3">
        <v>0</v>
      </c>
      <c r="K49" s="3">
        <v>8500000</v>
      </c>
      <c r="L49" s="3">
        <v>13500000</v>
      </c>
      <c r="M49" s="3">
        <v>0</v>
      </c>
      <c r="N49" s="3">
        <v>7300000</v>
      </c>
      <c r="O49" s="3">
        <v>0</v>
      </c>
      <c r="P49" s="3">
        <v>0</v>
      </c>
      <c r="Q49" s="3">
        <v>474582762.4913497</v>
      </c>
      <c r="R49" s="3">
        <v>30991729328.775185</v>
      </c>
      <c r="S49" s="3">
        <v>0</v>
      </c>
      <c r="T49" s="3">
        <v>464222213342.65765</v>
      </c>
      <c r="U49" s="3">
        <v>20878.850543073488</v>
      </c>
      <c r="V49" s="3">
        <v>0</v>
      </c>
      <c r="W49" s="3">
        <v>143000000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1900</v>
      </c>
      <c r="AD49" s="3">
        <v>0</v>
      </c>
      <c r="AE49" s="3">
        <v>0</v>
      </c>
    </row>
    <row r="50" spans="1:31" x14ac:dyDescent="0.3">
      <c r="A50" s="2" t="s">
        <v>147</v>
      </c>
      <c r="B50" s="3">
        <v>1770000</v>
      </c>
      <c r="C50" s="3">
        <v>550000</v>
      </c>
      <c r="D50" s="3">
        <v>9504333.1959714741</v>
      </c>
      <c r="E50" s="3">
        <v>70</v>
      </c>
      <c r="F50" s="3">
        <v>1900000</v>
      </c>
      <c r="G50" s="3">
        <v>0</v>
      </c>
      <c r="H50" s="3">
        <v>0</v>
      </c>
      <c r="I50" s="3">
        <v>90</v>
      </c>
      <c r="J50" s="3">
        <v>25000</v>
      </c>
      <c r="K50" s="3">
        <v>1050000</v>
      </c>
      <c r="L50" s="3">
        <v>17500000</v>
      </c>
      <c r="M50" s="3">
        <v>0</v>
      </c>
      <c r="N50" s="3">
        <v>0</v>
      </c>
      <c r="O50" s="3">
        <v>0</v>
      </c>
      <c r="P50" s="3">
        <v>106461.56379354245</v>
      </c>
      <c r="Q50" s="3">
        <v>31696912.42807835</v>
      </c>
      <c r="R50" s="3">
        <v>0</v>
      </c>
      <c r="S50" s="3">
        <v>0</v>
      </c>
      <c r="T50" s="3">
        <v>57043940.155043684</v>
      </c>
      <c r="U50" s="3">
        <v>2362352.509806172</v>
      </c>
      <c r="V50" s="3">
        <v>0</v>
      </c>
      <c r="W50" s="3">
        <v>0</v>
      </c>
      <c r="X50" s="3">
        <v>205000</v>
      </c>
      <c r="Y50" s="3">
        <v>13500000</v>
      </c>
      <c r="Z50" s="3">
        <v>0</v>
      </c>
      <c r="AA50" s="3">
        <v>0</v>
      </c>
      <c r="AB50" s="3">
        <v>0</v>
      </c>
      <c r="AC50" s="3">
        <v>360</v>
      </c>
      <c r="AD50" s="3">
        <v>0</v>
      </c>
      <c r="AE50" s="3">
        <v>0</v>
      </c>
    </row>
    <row r="51" spans="1:31" x14ac:dyDescent="0.3">
      <c r="A51" s="2" t="s">
        <v>146</v>
      </c>
      <c r="B51" s="3">
        <v>36500</v>
      </c>
      <c r="C51" s="3">
        <v>21000</v>
      </c>
      <c r="D51" s="3">
        <v>144206904.43666559</v>
      </c>
      <c r="E51" s="3">
        <v>505</v>
      </c>
      <c r="F51" s="3">
        <v>6150</v>
      </c>
      <c r="G51" s="3">
        <v>1625</v>
      </c>
      <c r="H51" s="3">
        <v>0</v>
      </c>
      <c r="I51" s="3">
        <v>0</v>
      </c>
      <c r="J51" s="3">
        <v>0</v>
      </c>
      <c r="K51" s="3">
        <v>80000</v>
      </c>
      <c r="L51" s="3">
        <v>420000</v>
      </c>
      <c r="M51" s="3">
        <v>14750000</v>
      </c>
      <c r="N51" s="3">
        <v>0</v>
      </c>
      <c r="O51" s="3">
        <v>0</v>
      </c>
      <c r="P51" s="3">
        <v>0</v>
      </c>
      <c r="Q51" s="3">
        <v>8324956.2527169939</v>
      </c>
      <c r="R51" s="3">
        <v>2886.6589684269948</v>
      </c>
      <c r="S51" s="3">
        <v>1693.2808390813379</v>
      </c>
      <c r="T51" s="3">
        <v>1112530364.8416624</v>
      </c>
      <c r="U51" s="3">
        <v>22842575.452824552</v>
      </c>
      <c r="V51" s="3">
        <v>582000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54</v>
      </c>
      <c r="AD51" s="3">
        <v>0</v>
      </c>
      <c r="AE51" s="3">
        <v>12800</v>
      </c>
    </row>
    <row r="52" spans="1:31" x14ac:dyDescent="0.3">
      <c r="A52" s="2" t="s">
        <v>144</v>
      </c>
      <c r="B52" s="3">
        <v>37500000</v>
      </c>
      <c r="C52" s="3">
        <v>2750000</v>
      </c>
      <c r="D52" s="3">
        <v>11670876073.621553</v>
      </c>
      <c r="E52" s="3">
        <v>25000</v>
      </c>
      <c r="F52" s="3">
        <v>1500000</v>
      </c>
      <c r="G52" s="3">
        <v>0</v>
      </c>
      <c r="H52" s="3">
        <v>0</v>
      </c>
      <c r="I52" s="3">
        <v>0</v>
      </c>
      <c r="J52" s="3">
        <v>0</v>
      </c>
      <c r="K52" s="3">
        <v>6500000</v>
      </c>
      <c r="L52" s="3">
        <v>9500000</v>
      </c>
      <c r="M52" s="3">
        <v>0</v>
      </c>
      <c r="N52" s="3">
        <v>14900000</v>
      </c>
      <c r="O52" s="3">
        <v>0</v>
      </c>
      <c r="P52" s="3">
        <v>0</v>
      </c>
      <c r="Q52" s="3">
        <v>345833420.3870427</v>
      </c>
      <c r="R52" s="3">
        <v>44204968265.963593</v>
      </c>
      <c r="S52" s="3">
        <v>0</v>
      </c>
      <c r="T52" s="3">
        <v>524357821103.40558</v>
      </c>
      <c r="U52" s="3">
        <v>0</v>
      </c>
      <c r="V52" s="3">
        <v>64000</v>
      </c>
      <c r="W52" s="3">
        <v>158000000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1:31" x14ac:dyDescent="0.3">
      <c r="A53" s="2" t="s">
        <v>147</v>
      </c>
      <c r="B53" s="3">
        <v>5500000</v>
      </c>
      <c r="C53" s="3">
        <v>40000</v>
      </c>
      <c r="D53" s="3">
        <v>17859201.79851272</v>
      </c>
      <c r="E53" s="3">
        <v>288</v>
      </c>
      <c r="F53" s="3">
        <v>600000</v>
      </c>
      <c r="G53" s="3">
        <v>0</v>
      </c>
      <c r="H53" s="3">
        <v>20</v>
      </c>
      <c r="I53" s="3">
        <v>0</v>
      </c>
      <c r="J53" s="3">
        <v>0</v>
      </c>
      <c r="K53" s="3">
        <v>6000000</v>
      </c>
      <c r="L53" s="3">
        <v>29500000</v>
      </c>
      <c r="M53" s="3">
        <v>0</v>
      </c>
      <c r="N53" s="3">
        <v>0</v>
      </c>
      <c r="O53" s="3">
        <v>0</v>
      </c>
      <c r="P53" s="3">
        <v>359283.39903712919</v>
      </c>
      <c r="Q53" s="3">
        <v>38723264.262524545</v>
      </c>
      <c r="R53" s="3">
        <v>0</v>
      </c>
      <c r="S53" s="3">
        <v>0</v>
      </c>
      <c r="T53" s="3">
        <v>487796769.76790243</v>
      </c>
      <c r="U53" s="3">
        <v>2067764.2221777607</v>
      </c>
      <c r="V53" s="3">
        <v>0</v>
      </c>
      <c r="W53" s="3">
        <v>0</v>
      </c>
      <c r="X53" s="3">
        <v>0</v>
      </c>
      <c r="Y53" s="3">
        <v>1800000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800</v>
      </c>
    </row>
    <row r="54" spans="1:31" x14ac:dyDescent="0.3">
      <c r="A54" s="2" t="s">
        <v>146</v>
      </c>
      <c r="B54" s="3">
        <v>62500</v>
      </c>
      <c r="C54" s="3">
        <v>95000</v>
      </c>
      <c r="D54" s="3">
        <v>516162715.44250464</v>
      </c>
      <c r="E54" s="3">
        <v>887</v>
      </c>
      <c r="F54" s="3">
        <v>8100</v>
      </c>
      <c r="G54" s="3">
        <v>2331.8181818181815</v>
      </c>
      <c r="H54" s="3">
        <v>0</v>
      </c>
      <c r="I54" s="3">
        <v>0</v>
      </c>
      <c r="J54" s="3">
        <v>0</v>
      </c>
      <c r="K54" s="3">
        <v>3550000</v>
      </c>
      <c r="L54" s="3">
        <v>3550000</v>
      </c>
      <c r="M54" s="3">
        <v>52500000</v>
      </c>
      <c r="N54" s="3">
        <v>0</v>
      </c>
      <c r="O54" s="3">
        <v>0</v>
      </c>
      <c r="P54" s="3">
        <v>0</v>
      </c>
      <c r="Q54" s="3">
        <v>14984317.269993044</v>
      </c>
      <c r="R54" s="3">
        <v>0</v>
      </c>
      <c r="S54" s="3">
        <v>0</v>
      </c>
      <c r="T54" s="3">
        <v>670243207.41584253</v>
      </c>
      <c r="U54" s="3">
        <v>29455874.32032644</v>
      </c>
      <c r="V54" s="3">
        <v>14600000</v>
      </c>
      <c r="W54" s="3">
        <v>0</v>
      </c>
      <c r="X54" s="3">
        <v>0</v>
      </c>
      <c r="Y54" s="3">
        <v>0</v>
      </c>
      <c r="Z54" s="3">
        <v>210</v>
      </c>
      <c r="AA54" s="3">
        <v>430</v>
      </c>
      <c r="AB54" s="3">
        <v>0</v>
      </c>
      <c r="AC54" s="3">
        <v>130</v>
      </c>
      <c r="AD54" s="3">
        <v>0</v>
      </c>
      <c r="AE54" s="3">
        <v>0</v>
      </c>
    </row>
    <row r="55" spans="1:31" x14ac:dyDescent="0.3">
      <c r="A55" s="2" t="s">
        <v>147</v>
      </c>
      <c r="B55" s="3">
        <v>12200000</v>
      </c>
      <c r="C55" s="3">
        <v>550000</v>
      </c>
      <c r="D55" s="3">
        <v>183001545.08882159</v>
      </c>
      <c r="E55" s="3">
        <v>580000</v>
      </c>
      <c r="F55" s="3">
        <v>4000000</v>
      </c>
      <c r="G55" s="3">
        <v>385</v>
      </c>
      <c r="H55" s="3">
        <v>0</v>
      </c>
      <c r="I55" s="3">
        <v>0</v>
      </c>
      <c r="J55" s="3">
        <v>0</v>
      </c>
      <c r="K55" s="3">
        <v>3150000</v>
      </c>
      <c r="L55" s="3">
        <v>19500000</v>
      </c>
      <c r="M55" s="3">
        <v>0</v>
      </c>
      <c r="N55" s="3">
        <v>0</v>
      </c>
      <c r="O55" s="3">
        <v>0</v>
      </c>
      <c r="P55" s="3">
        <v>14683.578688202033</v>
      </c>
      <c r="Q55" s="3">
        <v>45215981.240516201</v>
      </c>
      <c r="R55" s="3">
        <v>0</v>
      </c>
      <c r="S55" s="3">
        <v>0</v>
      </c>
      <c r="T55" s="3">
        <v>70929945.357486352</v>
      </c>
      <c r="U55" s="3">
        <v>641009.67176478705</v>
      </c>
      <c r="V55" s="3">
        <v>0</v>
      </c>
      <c r="W55" s="3">
        <v>0</v>
      </c>
      <c r="X55" s="3">
        <v>0</v>
      </c>
      <c r="Y55" s="3">
        <v>13700000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</row>
    <row r="56" spans="1:31" x14ac:dyDescent="0.3">
      <c r="A56" s="2" t="s">
        <v>145</v>
      </c>
      <c r="B56" s="3">
        <v>60500000</v>
      </c>
      <c r="C56" s="3">
        <v>3750000</v>
      </c>
      <c r="D56" s="3">
        <v>86175786.309055522</v>
      </c>
      <c r="E56" s="3">
        <v>100000</v>
      </c>
      <c r="F56" s="3">
        <v>48500000</v>
      </c>
      <c r="G56" s="3">
        <v>0</v>
      </c>
      <c r="H56" s="3">
        <v>0</v>
      </c>
      <c r="I56" s="3">
        <v>2133.3333333333335</v>
      </c>
      <c r="J56" s="3">
        <v>0</v>
      </c>
      <c r="K56" s="3">
        <v>144000000</v>
      </c>
      <c r="L56" s="3">
        <v>590000000</v>
      </c>
      <c r="M56" s="3">
        <v>0</v>
      </c>
      <c r="N56" s="3">
        <v>0</v>
      </c>
      <c r="O56" s="3">
        <v>0</v>
      </c>
      <c r="P56" s="3">
        <v>0</v>
      </c>
      <c r="Q56" s="3">
        <v>41574492.834701002</v>
      </c>
      <c r="R56" s="3">
        <v>0</v>
      </c>
      <c r="S56" s="3">
        <v>12901325.208210202</v>
      </c>
      <c r="T56" s="3">
        <v>2383236748.0807981</v>
      </c>
      <c r="U56" s="3">
        <v>0</v>
      </c>
      <c r="V56" s="3">
        <v>0</v>
      </c>
      <c r="W56" s="3">
        <v>0</v>
      </c>
      <c r="X56" s="3">
        <v>17600000</v>
      </c>
      <c r="Y56" s="3">
        <v>0</v>
      </c>
      <c r="Z56" s="3">
        <v>0</v>
      </c>
      <c r="AA56" s="3">
        <v>0</v>
      </c>
      <c r="AB56" s="3">
        <v>0</v>
      </c>
      <c r="AC56" s="3">
        <v>550</v>
      </c>
      <c r="AD56" s="3">
        <v>0</v>
      </c>
      <c r="AE56" s="3">
        <v>4400</v>
      </c>
    </row>
    <row r="57" spans="1:31" x14ac:dyDescent="0.3">
      <c r="A57" s="2" t="s">
        <v>144</v>
      </c>
      <c r="B57" s="3">
        <v>12500000</v>
      </c>
      <c r="C57" s="3">
        <v>800000</v>
      </c>
      <c r="D57" s="3">
        <v>6482061716.3195839</v>
      </c>
      <c r="E57" s="3">
        <v>1840</v>
      </c>
      <c r="F57" s="3">
        <v>21500000</v>
      </c>
      <c r="G57" s="3">
        <v>0</v>
      </c>
      <c r="H57" s="3">
        <v>0</v>
      </c>
      <c r="I57" s="3">
        <v>0</v>
      </c>
      <c r="J57" s="3">
        <v>0</v>
      </c>
      <c r="K57" s="3">
        <v>27500000</v>
      </c>
      <c r="L57" s="3">
        <v>110000000</v>
      </c>
      <c r="M57" s="3">
        <v>0</v>
      </c>
      <c r="N57" s="3">
        <v>10900000</v>
      </c>
      <c r="O57" s="3">
        <v>0</v>
      </c>
      <c r="P57" s="3">
        <v>0</v>
      </c>
      <c r="Q57" s="3">
        <v>576052359.71084261</v>
      </c>
      <c r="R57" s="3">
        <v>42258998376.479462</v>
      </c>
      <c r="S57" s="3">
        <v>0</v>
      </c>
      <c r="T57" s="3">
        <v>539777084385.60126</v>
      </c>
      <c r="U57" s="3">
        <v>0</v>
      </c>
      <c r="V57" s="3">
        <v>0</v>
      </c>
      <c r="W57" s="3">
        <v>171000000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1:31" x14ac:dyDescent="0.3">
      <c r="A58" s="2" t="s">
        <v>146</v>
      </c>
      <c r="B58" s="3">
        <v>445000</v>
      </c>
      <c r="C58" s="3">
        <v>24000</v>
      </c>
      <c r="D58" s="3">
        <v>9018890688.3694305</v>
      </c>
      <c r="E58" s="3">
        <v>11400</v>
      </c>
      <c r="F58" s="3">
        <v>3000</v>
      </c>
      <c r="G58" s="3">
        <v>6409.090909090909</v>
      </c>
      <c r="H58" s="3">
        <v>0</v>
      </c>
      <c r="I58" s="3">
        <v>0</v>
      </c>
      <c r="J58" s="3">
        <v>0</v>
      </c>
      <c r="K58" s="3">
        <v>1500000</v>
      </c>
      <c r="L58" s="3">
        <v>1700000</v>
      </c>
      <c r="M58" s="3">
        <v>37600000</v>
      </c>
      <c r="N58" s="3">
        <v>0</v>
      </c>
      <c r="O58" s="3">
        <v>0</v>
      </c>
      <c r="P58" s="3">
        <v>0</v>
      </c>
      <c r="Q58" s="3">
        <v>9596038.0197634175</v>
      </c>
      <c r="R58" s="3">
        <v>0</v>
      </c>
      <c r="S58" s="3">
        <v>0</v>
      </c>
      <c r="T58" s="3">
        <v>2396366748.0871735</v>
      </c>
      <c r="U58" s="3">
        <v>15071071.305348933</v>
      </c>
      <c r="V58" s="3">
        <v>169000</v>
      </c>
      <c r="W58" s="3">
        <v>446000</v>
      </c>
      <c r="X58" s="3">
        <v>0</v>
      </c>
      <c r="Y58" s="3">
        <v>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1:31" x14ac:dyDescent="0.3">
      <c r="A59" s="2" t="s">
        <v>146</v>
      </c>
      <c r="B59" s="3">
        <v>165000</v>
      </c>
      <c r="C59" s="3">
        <v>42000</v>
      </c>
      <c r="D59" s="3">
        <v>3110903994.7701259</v>
      </c>
      <c r="E59" s="3">
        <v>4100</v>
      </c>
      <c r="F59" s="3">
        <v>3500</v>
      </c>
      <c r="G59" s="3">
        <v>1713.6363636363635</v>
      </c>
      <c r="H59" s="3">
        <v>0</v>
      </c>
      <c r="I59" s="3">
        <v>0</v>
      </c>
      <c r="J59" s="3">
        <v>0</v>
      </c>
      <c r="K59" s="3">
        <v>1100000</v>
      </c>
      <c r="L59" s="3">
        <v>1200000</v>
      </c>
      <c r="M59" s="3">
        <v>28100000</v>
      </c>
      <c r="N59" s="3">
        <v>0</v>
      </c>
      <c r="O59" s="3">
        <v>0</v>
      </c>
      <c r="P59" s="3">
        <v>0</v>
      </c>
      <c r="Q59" s="3">
        <v>17384089.930383287</v>
      </c>
      <c r="R59" s="3">
        <v>0</v>
      </c>
      <c r="S59" s="3">
        <v>0</v>
      </c>
      <c r="T59" s="3">
        <v>1216862044.6108589</v>
      </c>
      <c r="U59" s="3">
        <v>14310236.942441382</v>
      </c>
      <c r="V59" s="3">
        <v>90000</v>
      </c>
      <c r="W59" s="3">
        <v>0</v>
      </c>
      <c r="X59" s="3">
        <v>0</v>
      </c>
      <c r="Y59" s="3">
        <v>0</v>
      </c>
      <c r="Z59" s="3">
        <v>69</v>
      </c>
      <c r="AA59" s="3">
        <v>0</v>
      </c>
      <c r="AB59" s="3">
        <v>0</v>
      </c>
      <c r="AC59" s="3">
        <v>0</v>
      </c>
      <c r="AD59" s="3">
        <v>0</v>
      </c>
      <c r="AE59" s="3">
        <v>16400</v>
      </c>
    </row>
    <row r="60" spans="1:31" x14ac:dyDescent="0.3">
      <c r="A60" s="2" t="s">
        <v>144</v>
      </c>
      <c r="B60" s="3">
        <v>595000000</v>
      </c>
      <c r="C60" s="3">
        <v>57000000</v>
      </c>
      <c r="D60" s="3">
        <v>10189388677.119694</v>
      </c>
      <c r="E60" s="3">
        <v>239500</v>
      </c>
      <c r="F60" s="3">
        <v>49500000</v>
      </c>
      <c r="G60" s="3">
        <v>0</v>
      </c>
      <c r="H60" s="3">
        <v>0</v>
      </c>
      <c r="I60" s="3">
        <v>0</v>
      </c>
      <c r="J60" s="3">
        <v>0</v>
      </c>
      <c r="K60" s="3">
        <v>8500000</v>
      </c>
      <c r="L60" s="3">
        <v>11800000</v>
      </c>
      <c r="M60" s="3">
        <v>0</v>
      </c>
      <c r="N60" s="3">
        <v>0</v>
      </c>
      <c r="O60" s="3">
        <v>0</v>
      </c>
      <c r="P60" s="3">
        <v>0</v>
      </c>
      <c r="Q60" s="3">
        <v>108135168.16962105</v>
      </c>
      <c r="R60" s="3">
        <v>22380948952.926548</v>
      </c>
      <c r="S60" s="3">
        <v>0</v>
      </c>
      <c r="T60" s="3">
        <v>439409010501.15594</v>
      </c>
      <c r="U60" s="3">
        <v>0</v>
      </c>
      <c r="V60" s="3">
        <v>0</v>
      </c>
      <c r="W60" s="3">
        <v>66600000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1:31" x14ac:dyDescent="0.3">
      <c r="A61" s="2" t="s">
        <v>145</v>
      </c>
      <c r="B61" s="3">
        <v>400000</v>
      </c>
      <c r="C61" s="3">
        <v>215000</v>
      </c>
      <c r="D61" s="3">
        <v>118254524.49546276</v>
      </c>
      <c r="E61" s="3">
        <v>315</v>
      </c>
      <c r="F61" s="3">
        <v>365000</v>
      </c>
      <c r="G61" s="3">
        <v>0</v>
      </c>
      <c r="H61" s="3">
        <v>0</v>
      </c>
      <c r="I61" s="3">
        <v>195.45454545454544</v>
      </c>
      <c r="J61" s="3">
        <v>0</v>
      </c>
      <c r="K61" s="3">
        <v>11500</v>
      </c>
      <c r="L61" s="3">
        <v>65000</v>
      </c>
      <c r="M61" s="3">
        <v>0</v>
      </c>
      <c r="N61" s="3">
        <v>0</v>
      </c>
      <c r="O61" s="3">
        <v>0</v>
      </c>
      <c r="P61" s="3">
        <v>0</v>
      </c>
      <c r="Q61" s="3">
        <v>24798588.378575128</v>
      </c>
      <c r="R61" s="3">
        <v>0</v>
      </c>
      <c r="S61" s="3">
        <v>5915359.9199372474</v>
      </c>
      <c r="T61" s="3">
        <v>7161998150.4890385</v>
      </c>
      <c r="U61" s="3">
        <v>0</v>
      </c>
      <c r="V61" s="3">
        <v>150000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1100</v>
      </c>
      <c r="AD61" s="3">
        <v>0</v>
      </c>
      <c r="AE61" s="3">
        <v>22400</v>
      </c>
    </row>
    <row r="62" spans="1:31" x14ac:dyDescent="0.3">
      <c r="A62" s="2" t="s">
        <v>145</v>
      </c>
      <c r="B62" s="3">
        <v>150000</v>
      </c>
      <c r="C62" s="3">
        <v>570000</v>
      </c>
      <c r="D62" s="3">
        <v>532970159.82538342</v>
      </c>
      <c r="E62" s="3">
        <v>910</v>
      </c>
      <c r="F62" s="3">
        <v>87000</v>
      </c>
      <c r="G62" s="3">
        <v>0</v>
      </c>
      <c r="H62" s="3">
        <v>0</v>
      </c>
      <c r="I62" s="3">
        <v>100</v>
      </c>
      <c r="J62" s="3">
        <v>0</v>
      </c>
      <c r="K62" s="3">
        <v>5000</v>
      </c>
      <c r="L62" s="3">
        <v>12500</v>
      </c>
      <c r="M62" s="3">
        <v>0</v>
      </c>
      <c r="N62" s="3">
        <v>0</v>
      </c>
      <c r="O62" s="3">
        <v>0</v>
      </c>
      <c r="P62" s="3">
        <v>0</v>
      </c>
      <c r="Q62" s="3">
        <v>17160975.053392589</v>
      </c>
      <c r="R62" s="3">
        <v>0</v>
      </c>
      <c r="S62" s="3">
        <v>5292318.744746957</v>
      </c>
      <c r="T62" s="3">
        <v>3940658001.1748557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250</v>
      </c>
      <c r="AD62" s="3">
        <v>0</v>
      </c>
      <c r="AE62" s="3">
        <v>2000</v>
      </c>
    </row>
    <row r="63" spans="1:31" x14ac:dyDescent="0.3">
      <c r="A63" s="2" t="s">
        <v>147</v>
      </c>
      <c r="B63" s="3">
        <v>215000</v>
      </c>
      <c r="C63" s="3">
        <v>67500</v>
      </c>
      <c r="D63" s="3">
        <v>34506300</v>
      </c>
      <c r="E63" s="3">
        <v>125</v>
      </c>
      <c r="F63" s="3">
        <v>300000</v>
      </c>
      <c r="G63" s="3">
        <v>0</v>
      </c>
      <c r="H63" s="3">
        <v>0</v>
      </c>
      <c r="I63" s="3">
        <v>0</v>
      </c>
      <c r="J63" s="3">
        <v>0</v>
      </c>
      <c r="K63" s="3">
        <v>39500</v>
      </c>
      <c r="L63" s="3">
        <v>60000</v>
      </c>
      <c r="M63" s="3">
        <v>0</v>
      </c>
      <c r="N63" s="3">
        <v>0</v>
      </c>
      <c r="O63" s="3">
        <v>0</v>
      </c>
      <c r="P63" s="3">
        <v>323059.08596648602</v>
      </c>
      <c r="Q63" s="3">
        <v>1836588.920262781</v>
      </c>
      <c r="R63" s="3">
        <v>0</v>
      </c>
      <c r="S63" s="3">
        <v>0</v>
      </c>
      <c r="T63" s="3">
        <v>16089903.714913895</v>
      </c>
      <c r="U63" s="3">
        <v>307227.90812815167</v>
      </c>
      <c r="V63" s="3">
        <v>0</v>
      </c>
      <c r="W63" s="3">
        <v>0</v>
      </c>
      <c r="X63" s="3">
        <v>0</v>
      </c>
      <c r="Y63" s="3">
        <v>3400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1:31" x14ac:dyDescent="0.3">
      <c r="A64" s="2" t="s">
        <v>146</v>
      </c>
      <c r="B64" s="3">
        <v>44000</v>
      </c>
      <c r="C64" s="3">
        <v>9250</v>
      </c>
      <c r="D64" s="3">
        <v>17585594.216187295</v>
      </c>
      <c r="E64" s="3">
        <v>526</v>
      </c>
      <c r="F64" s="3">
        <v>1550</v>
      </c>
      <c r="G64" s="3">
        <v>32800</v>
      </c>
      <c r="H64" s="3">
        <v>0</v>
      </c>
      <c r="I64" s="3">
        <v>0</v>
      </c>
      <c r="J64" s="3">
        <v>0</v>
      </c>
      <c r="K64" s="3">
        <v>20000</v>
      </c>
      <c r="L64" s="3">
        <v>515000</v>
      </c>
      <c r="M64" s="3">
        <v>371430.83957256051</v>
      </c>
      <c r="N64" s="3">
        <v>45901.825749549418</v>
      </c>
      <c r="O64" s="3">
        <v>285891.97178846097</v>
      </c>
      <c r="P64" s="3">
        <v>349576.28278218966</v>
      </c>
      <c r="Q64" s="3">
        <v>6640594.4787906148</v>
      </c>
      <c r="R64" s="3">
        <v>0</v>
      </c>
      <c r="S64" s="3">
        <v>0</v>
      </c>
      <c r="T64" s="3">
        <v>5380303.1064058095</v>
      </c>
      <c r="U64" s="3">
        <v>311220.14022746019</v>
      </c>
      <c r="V64" s="3">
        <v>18400</v>
      </c>
      <c r="W64" s="3">
        <v>0</v>
      </c>
      <c r="X64" s="3">
        <v>0</v>
      </c>
      <c r="Y64" s="3">
        <v>11900</v>
      </c>
      <c r="Z64" s="3">
        <v>95</v>
      </c>
      <c r="AA64" s="3">
        <v>320</v>
      </c>
      <c r="AB64" s="3">
        <v>0</v>
      </c>
      <c r="AC64" s="3">
        <v>87</v>
      </c>
      <c r="AD64" s="3">
        <v>0</v>
      </c>
      <c r="AE64" s="3">
        <v>18000</v>
      </c>
    </row>
    <row r="65" spans="1:31" x14ac:dyDescent="0.3">
      <c r="A65" s="2" t="s">
        <v>147</v>
      </c>
      <c r="B65" s="3">
        <v>1670000</v>
      </c>
      <c r="C65" s="3">
        <v>17500</v>
      </c>
      <c r="D65" s="3">
        <v>17829057.238081884</v>
      </c>
      <c r="E65" s="3">
        <v>2000</v>
      </c>
      <c r="F65" s="3">
        <v>2270000</v>
      </c>
      <c r="G65" s="3">
        <v>365</v>
      </c>
      <c r="H65" s="3">
        <v>0</v>
      </c>
      <c r="I65" s="3">
        <v>0</v>
      </c>
      <c r="J65" s="3">
        <v>477.27272727272731</v>
      </c>
      <c r="K65" s="3">
        <v>0</v>
      </c>
      <c r="L65" s="3">
        <v>75000</v>
      </c>
      <c r="M65" s="3">
        <v>0</v>
      </c>
      <c r="N65" s="3">
        <v>0</v>
      </c>
      <c r="O65" s="3">
        <v>0</v>
      </c>
      <c r="P65" s="3">
        <v>3162037.091316876</v>
      </c>
      <c r="Q65" s="3">
        <v>17272172.232271187</v>
      </c>
      <c r="R65" s="3">
        <v>0</v>
      </c>
      <c r="S65" s="3">
        <v>0</v>
      </c>
      <c r="T65" s="3">
        <v>1889936867.842103</v>
      </c>
      <c r="U65" s="3">
        <v>923577.46163128072</v>
      </c>
      <c r="V65" s="3">
        <v>45800</v>
      </c>
      <c r="W65" s="3">
        <v>0</v>
      </c>
      <c r="X65" s="3">
        <v>0</v>
      </c>
      <c r="Y65" s="3">
        <v>11400000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1:31" x14ac:dyDescent="0.3">
      <c r="A66" s="2" t="s">
        <v>145</v>
      </c>
      <c r="B66" s="3">
        <v>19450000</v>
      </c>
      <c r="C66" s="3">
        <v>20000</v>
      </c>
      <c r="D66" s="3">
        <v>123539668.46509609</v>
      </c>
      <c r="E66" s="3">
        <v>0</v>
      </c>
      <c r="F66" s="3">
        <v>110000</v>
      </c>
      <c r="G66" s="3">
        <v>0</v>
      </c>
      <c r="H66" s="3">
        <v>0</v>
      </c>
      <c r="I66" s="3">
        <v>0</v>
      </c>
      <c r="J66" s="3">
        <v>75</v>
      </c>
      <c r="K66" s="3">
        <v>12000000</v>
      </c>
      <c r="L66" s="3">
        <v>35500000</v>
      </c>
      <c r="M66" s="3">
        <v>0</v>
      </c>
      <c r="N66" s="3">
        <v>0</v>
      </c>
      <c r="O66" s="3">
        <v>0</v>
      </c>
      <c r="P66" s="3">
        <v>0</v>
      </c>
      <c r="Q66" s="3">
        <v>173273425.0185807</v>
      </c>
      <c r="R66" s="3">
        <v>0</v>
      </c>
      <c r="S66" s="3">
        <v>14632345808.300732</v>
      </c>
      <c r="T66" s="3">
        <v>69042143571.123993</v>
      </c>
      <c r="U66" s="3">
        <v>0</v>
      </c>
      <c r="V66" s="3">
        <v>0</v>
      </c>
      <c r="W66" s="3">
        <v>0</v>
      </c>
      <c r="X66" s="3">
        <v>204000000</v>
      </c>
      <c r="Y66" s="3">
        <v>0</v>
      </c>
      <c r="Z66" s="3">
        <v>0</v>
      </c>
      <c r="AA66" s="3">
        <v>0</v>
      </c>
      <c r="AB66" s="3">
        <v>0</v>
      </c>
      <c r="AC66" s="3">
        <v>59</v>
      </c>
      <c r="AD66" s="3">
        <v>59000</v>
      </c>
      <c r="AE66" s="3">
        <v>15600</v>
      </c>
    </row>
    <row r="67" spans="1:31" x14ac:dyDescent="0.3">
      <c r="A67" s="2" t="s">
        <v>144</v>
      </c>
      <c r="B67" s="3">
        <v>167000</v>
      </c>
      <c r="C67" s="3">
        <v>1155000</v>
      </c>
      <c r="D67" s="3">
        <v>707093754.65769422</v>
      </c>
      <c r="E67" s="3">
        <v>0</v>
      </c>
      <c r="F67" s="3">
        <v>500</v>
      </c>
      <c r="G67" s="3">
        <v>0</v>
      </c>
      <c r="H67" s="3">
        <v>0</v>
      </c>
      <c r="I67" s="3">
        <v>0</v>
      </c>
      <c r="J67" s="3">
        <v>0</v>
      </c>
      <c r="K67" s="3">
        <v>4100000</v>
      </c>
      <c r="L67" s="3">
        <v>5200000</v>
      </c>
      <c r="M67" s="3">
        <v>0</v>
      </c>
      <c r="N67" s="3">
        <v>0</v>
      </c>
      <c r="O67" s="3">
        <v>0</v>
      </c>
      <c r="P67" s="3">
        <v>0</v>
      </c>
      <c r="Q67" s="3">
        <v>997440412.00108635</v>
      </c>
      <c r="R67" s="3">
        <v>836738269.50697255</v>
      </c>
      <c r="S67" s="3">
        <v>0</v>
      </c>
      <c r="T67" s="3">
        <v>24482163672.423126</v>
      </c>
      <c r="U67" s="3">
        <v>0</v>
      </c>
      <c r="V67" s="3">
        <v>1350000</v>
      </c>
      <c r="W67" s="3">
        <v>38600000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</row>
    <row r="68" spans="1:31" x14ac:dyDescent="0.3">
      <c r="A68" s="2" t="s">
        <v>147</v>
      </c>
      <c r="B68" s="3">
        <v>10550000</v>
      </c>
      <c r="C68" s="3">
        <v>1450000</v>
      </c>
      <c r="D68" s="3">
        <v>759360</v>
      </c>
      <c r="E68" s="3">
        <v>0</v>
      </c>
      <c r="F68" s="3">
        <v>1010000</v>
      </c>
      <c r="G68" s="3">
        <v>0</v>
      </c>
      <c r="H68" s="3">
        <v>0</v>
      </c>
      <c r="I68" s="3">
        <v>0</v>
      </c>
      <c r="J68" s="3">
        <v>0</v>
      </c>
      <c r="K68" s="3">
        <v>20800000</v>
      </c>
      <c r="L68" s="3">
        <v>28000000</v>
      </c>
      <c r="M68" s="3">
        <v>0</v>
      </c>
      <c r="N68" s="3">
        <v>0</v>
      </c>
      <c r="O68" s="3">
        <v>0</v>
      </c>
      <c r="P68" s="3">
        <v>7387.3293835377008</v>
      </c>
      <c r="Q68" s="3">
        <v>487003362.71040225</v>
      </c>
      <c r="R68" s="3">
        <v>0</v>
      </c>
      <c r="S68" s="3">
        <v>0</v>
      </c>
      <c r="T68" s="3">
        <v>796165.28937149735</v>
      </c>
      <c r="U68" s="3">
        <v>0</v>
      </c>
      <c r="V68" s="3">
        <v>1900000</v>
      </c>
      <c r="W68" s="3">
        <v>0</v>
      </c>
      <c r="X68" s="3">
        <v>0</v>
      </c>
      <c r="Y68" s="3">
        <v>118000000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1:31" x14ac:dyDescent="0.3">
      <c r="A69" s="2" t="s">
        <v>148</v>
      </c>
      <c r="B69" s="3">
        <v>27700</v>
      </c>
      <c r="C69" s="3">
        <v>245000</v>
      </c>
      <c r="D69" s="3">
        <v>855944.01588656427</v>
      </c>
      <c r="E69" s="3">
        <v>2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11000</v>
      </c>
      <c r="L69" s="3">
        <v>110000</v>
      </c>
      <c r="M69" s="3">
        <v>0</v>
      </c>
      <c r="N69" s="3">
        <v>0</v>
      </c>
      <c r="O69" s="3">
        <v>0</v>
      </c>
      <c r="P69" s="3">
        <v>0</v>
      </c>
      <c r="Q69" s="3">
        <v>162435877.90922579</v>
      </c>
      <c r="R69" s="3">
        <v>0</v>
      </c>
      <c r="S69" s="3">
        <v>0</v>
      </c>
      <c r="T69" s="3">
        <v>4073009495.1818724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120</v>
      </c>
      <c r="AD69" s="3">
        <v>0</v>
      </c>
    </row>
    <row r="70" spans="1:31" x14ac:dyDescent="0.3">
      <c r="A70" s="2" t="s">
        <v>146</v>
      </c>
      <c r="B70" s="3">
        <v>655000</v>
      </c>
      <c r="C70" s="3">
        <v>150000</v>
      </c>
      <c r="D70" s="3">
        <v>834024315.6499815</v>
      </c>
      <c r="E70" s="3">
        <v>35600</v>
      </c>
      <c r="F70" s="3">
        <v>90500</v>
      </c>
      <c r="G70" s="3">
        <v>5400</v>
      </c>
      <c r="H70" s="3">
        <v>0</v>
      </c>
      <c r="I70" s="3">
        <v>0</v>
      </c>
      <c r="J70" s="3">
        <v>75</v>
      </c>
      <c r="K70" s="3">
        <v>1000000</v>
      </c>
      <c r="L70" s="3">
        <v>1320000</v>
      </c>
      <c r="M70" s="3">
        <v>19000000</v>
      </c>
      <c r="N70" s="3">
        <v>0</v>
      </c>
      <c r="O70" s="3">
        <v>0</v>
      </c>
      <c r="P70" s="3">
        <v>0</v>
      </c>
      <c r="Q70" s="3">
        <v>14696772.109407524</v>
      </c>
      <c r="R70" s="3">
        <v>0</v>
      </c>
      <c r="S70" s="3">
        <v>565.68542494923804</v>
      </c>
      <c r="T70" s="3">
        <v>2221799926.0651917</v>
      </c>
      <c r="U70" s="3">
        <v>23197693.311155792</v>
      </c>
      <c r="V70" s="3">
        <v>270000</v>
      </c>
      <c r="W70" s="3">
        <v>0</v>
      </c>
      <c r="X70" s="3">
        <v>0</v>
      </c>
      <c r="Y70" s="3">
        <v>0</v>
      </c>
      <c r="Z70" s="3">
        <v>187</v>
      </c>
      <c r="AA70" s="3">
        <v>740</v>
      </c>
      <c r="AB70" s="3">
        <v>0</v>
      </c>
      <c r="AC70" s="3">
        <v>233</v>
      </c>
      <c r="AD70" s="3">
        <v>0</v>
      </c>
      <c r="AE70" s="3">
        <v>444000</v>
      </c>
    </row>
    <row r="71" spans="1:31" x14ac:dyDescent="0.3">
      <c r="A71" s="2" t="s">
        <v>145</v>
      </c>
      <c r="B71" s="3">
        <v>1080000</v>
      </c>
      <c r="C71" s="3">
        <v>185000</v>
      </c>
      <c r="D71" s="3">
        <v>87603397.069899067</v>
      </c>
      <c r="E71" s="3">
        <v>0</v>
      </c>
      <c r="F71" s="3">
        <v>490000</v>
      </c>
      <c r="G71" s="3">
        <v>0</v>
      </c>
      <c r="H71" s="3">
        <v>0</v>
      </c>
      <c r="I71" s="3">
        <v>0</v>
      </c>
      <c r="J71" s="3">
        <v>0</v>
      </c>
      <c r="K71" s="3">
        <v>106000</v>
      </c>
      <c r="L71" s="3">
        <v>220000</v>
      </c>
      <c r="M71" s="3">
        <v>0</v>
      </c>
      <c r="N71" s="3">
        <v>0</v>
      </c>
      <c r="O71" s="3">
        <v>0</v>
      </c>
      <c r="P71" s="3">
        <v>0</v>
      </c>
      <c r="Q71" s="3">
        <v>64919020.713672638</v>
      </c>
      <c r="R71" s="3">
        <v>0</v>
      </c>
      <c r="S71" s="3">
        <v>500878960.00735348</v>
      </c>
      <c r="T71" s="3">
        <v>20210543552.49992</v>
      </c>
      <c r="U71" s="3">
        <v>0</v>
      </c>
      <c r="V71" s="3">
        <v>0</v>
      </c>
      <c r="W71" s="3">
        <v>0</v>
      </c>
      <c r="X71" s="3">
        <v>12900000</v>
      </c>
      <c r="Y71" s="3">
        <v>0</v>
      </c>
      <c r="Z71" s="3">
        <v>0</v>
      </c>
      <c r="AA71" s="3">
        <v>0</v>
      </c>
      <c r="AB71" s="3">
        <v>0</v>
      </c>
      <c r="AC71" s="3">
        <v>56</v>
      </c>
      <c r="AD71" s="3">
        <v>0</v>
      </c>
      <c r="AE71" s="3">
        <v>39200</v>
      </c>
    </row>
    <row r="72" spans="1:31" x14ac:dyDescent="0.3">
      <c r="A72" s="2" t="s">
        <v>144</v>
      </c>
      <c r="B72" s="3">
        <v>45500</v>
      </c>
      <c r="C72" s="3">
        <v>105000</v>
      </c>
      <c r="D72" s="3">
        <v>53284165.183739156</v>
      </c>
      <c r="E72" s="3">
        <v>38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4500</v>
      </c>
      <c r="M72" s="3">
        <v>0</v>
      </c>
      <c r="N72" s="3">
        <v>0</v>
      </c>
      <c r="O72" s="3">
        <v>0</v>
      </c>
      <c r="P72" s="3">
        <v>0</v>
      </c>
      <c r="Q72" s="3">
        <v>59690739.589168571</v>
      </c>
      <c r="R72" s="3">
        <v>951841888.68019044</v>
      </c>
      <c r="S72" s="3">
        <v>0</v>
      </c>
      <c r="T72" s="3">
        <v>16098851242.046982</v>
      </c>
      <c r="U72" s="3">
        <v>0</v>
      </c>
      <c r="V72" s="3">
        <v>2080000</v>
      </c>
      <c r="W72" s="3">
        <v>76400000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spans="1:31" x14ac:dyDescent="0.3">
      <c r="A73" s="2" t="s">
        <v>147</v>
      </c>
      <c r="B73" s="3">
        <v>21100000</v>
      </c>
      <c r="C73" s="3">
        <v>455000</v>
      </c>
      <c r="D73" s="3">
        <v>2841296898.3612652</v>
      </c>
      <c r="E73" s="3">
        <v>8865</v>
      </c>
      <c r="F73" s="3">
        <v>2850000</v>
      </c>
      <c r="G73" s="3">
        <v>0</v>
      </c>
      <c r="H73" s="3">
        <v>0</v>
      </c>
      <c r="I73" s="3">
        <v>0</v>
      </c>
      <c r="J73" s="3">
        <v>0</v>
      </c>
      <c r="K73" s="3">
        <v>218000</v>
      </c>
      <c r="L73" s="3">
        <v>1000000</v>
      </c>
      <c r="M73" s="3">
        <v>0</v>
      </c>
      <c r="N73" s="3">
        <v>0</v>
      </c>
      <c r="O73" s="3">
        <v>0</v>
      </c>
      <c r="P73" s="3">
        <v>42972905.302802972</v>
      </c>
      <c r="Q73" s="3">
        <v>133823369.29331169</v>
      </c>
      <c r="R73" s="3">
        <v>0</v>
      </c>
      <c r="S73" s="3">
        <v>0</v>
      </c>
      <c r="T73" s="3">
        <v>12413126669.088936</v>
      </c>
      <c r="U73" s="3">
        <v>0</v>
      </c>
      <c r="V73" s="3">
        <v>0</v>
      </c>
      <c r="W73" s="3">
        <v>0</v>
      </c>
      <c r="X73" s="3">
        <v>0</v>
      </c>
      <c r="Y73" s="3">
        <v>1110000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1:31" x14ac:dyDescent="0.3">
      <c r="A74" s="2" t="s">
        <v>148</v>
      </c>
      <c r="B74" s="3">
        <v>89500</v>
      </c>
      <c r="C74" s="3">
        <v>350</v>
      </c>
      <c r="D74" s="3">
        <v>2298829.3981067841</v>
      </c>
      <c r="E74" s="3">
        <v>0</v>
      </c>
      <c r="F74" s="3">
        <v>43300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32109013.29620342</v>
      </c>
      <c r="R74" s="3">
        <v>0</v>
      </c>
      <c r="S74" s="3">
        <v>0</v>
      </c>
      <c r="T74" s="3">
        <v>7322381226.9210052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1:31" x14ac:dyDescent="0.3">
      <c r="A75" s="2" t="s">
        <v>146</v>
      </c>
      <c r="B75" s="3">
        <v>160000</v>
      </c>
      <c r="C75" s="3">
        <v>225000</v>
      </c>
      <c r="D75" s="3">
        <v>1593697946.0195229</v>
      </c>
      <c r="E75" s="3">
        <v>31200</v>
      </c>
      <c r="F75" s="3">
        <v>140000</v>
      </c>
      <c r="G75" s="3">
        <v>449.99999999999989</v>
      </c>
      <c r="H75" s="3">
        <v>10</v>
      </c>
      <c r="I75" s="3">
        <v>0</v>
      </c>
      <c r="J75" s="3">
        <v>20</v>
      </c>
      <c r="K75" s="3">
        <v>17500</v>
      </c>
      <c r="L75" s="3">
        <v>107000</v>
      </c>
      <c r="M75" s="3">
        <v>19400000</v>
      </c>
      <c r="N75" s="3">
        <v>0</v>
      </c>
      <c r="O75" s="3">
        <v>0</v>
      </c>
      <c r="P75" s="3">
        <v>0</v>
      </c>
      <c r="Q75" s="3">
        <v>23398173.661399052</v>
      </c>
      <c r="R75" s="3">
        <v>0</v>
      </c>
      <c r="S75" s="3">
        <v>277.12812921102039</v>
      </c>
      <c r="T75" s="3">
        <v>496375973.38650107</v>
      </c>
      <c r="U75" s="3">
        <v>12323887.048398403</v>
      </c>
      <c r="V75" s="3">
        <v>282000</v>
      </c>
      <c r="W75" s="3">
        <v>0</v>
      </c>
      <c r="X75" s="3">
        <v>0</v>
      </c>
      <c r="Y75" s="3">
        <v>0</v>
      </c>
      <c r="Z75" s="3">
        <v>250</v>
      </c>
      <c r="AA75" s="3">
        <v>620</v>
      </c>
      <c r="AB75" s="3">
        <v>0</v>
      </c>
      <c r="AC75" s="3">
        <v>220</v>
      </c>
      <c r="AD75" s="3">
        <v>0</v>
      </c>
      <c r="AE75" s="3">
        <v>206800</v>
      </c>
    </row>
    <row r="76" spans="1:31" x14ac:dyDescent="0.3">
      <c r="A76" s="2" t="s">
        <v>144</v>
      </c>
      <c r="B76" s="3">
        <v>3000</v>
      </c>
      <c r="C76" s="3">
        <v>8500</v>
      </c>
      <c r="D76" s="3">
        <v>14592688.72519386</v>
      </c>
      <c r="E76" s="3">
        <v>0</v>
      </c>
      <c r="F76" s="3">
        <v>250</v>
      </c>
      <c r="G76" s="3">
        <v>0</v>
      </c>
      <c r="H76" s="3">
        <v>0</v>
      </c>
      <c r="I76" s="3">
        <v>0</v>
      </c>
      <c r="J76" s="3">
        <v>0</v>
      </c>
      <c r="K76" s="3">
        <v>100</v>
      </c>
      <c r="L76" s="3">
        <v>500</v>
      </c>
      <c r="M76" s="3">
        <v>0</v>
      </c>
      <c r="N76" s="3">
        <v>0</v>
      </c>
      <c r="O76" s="3">
        <v>0</v>
      </c>
      <c r="P76" s="3">
        <v>0</v>
      </c>
      <c r="Q76" s="3">
        <v>52457423.986192867</v>
      </c>
      <c r="R76" s="3">
        <v>111686544.73525316</v>
      </c>
      <c r="S76" s="3">
        <v>0</v>
      </c>
      <c r="T76" s="3">
        <v>3870289382.4588118</v>
      </c>
      <c r="U76" s="3">
        <v>0</v>
      </c>
      <c r="V76" s="3">
        <v>1710000</v>
      </c>
      <c r="W76" s="3">
        <v>56600000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</row>
    <row r="77" spans="1:31" x14ac:dyDescent="0.3">
      <c r="A77" s="2" t="s">
        <v>147</v>
      </c>
      <c r="B77" s="3">
        <v>140000</v>
      </c>
      <c r="C77" s="3">
        <v>315000</v>
      </c>
      <c r="D77" s="3">
        <v>12377256855.546122</v>
      </c>
      <c r="E77" s="3">
        <v>1475</v>
      </c>
      <c r="F77" s="3">
        <v>1565000</v>
      </c>
      <c r="G77" s="3">
        <v>520</v>
      </c>
      <c r="H77" s="3">
        <v>0</v>
      </c>
      <c r="I77" s="3">
        <v>0</v>
      </c>
      <c r="J77" s="3">
        <v>0</v>
      </c>
      <c r="K77" s="3">
        <v>16000</v>
      </c>
      <c r="L77" s="3">
        <v>90500</v>
      </c>
      <c r="M77" s="3">
        <v>0</v>
      </c>
      <c r="N77" s="3">
        <v>0</v>
      </c>
      <c r="O77" s="3">
        <v>0</v>
      </c>
      <c r="P77" s="3">
        <v>97453479.349524125</v>
      </c>
      <c r="Q77" s="3">
        <v>203637126.43273121</v>
      </c>
      <c r="R77" s="3">
        <v>0</v>
      </c>
      <c r="S77" s="3">
        <v>0</v>
      </c>
      <c r="T77" s="3">
        <v>27941024000</v>
      </c>
      <c r="U77" s="3">
        <v>0</v>
      </c>
      <c r="V77" s="3">
        <v>0</v>
      </c>
      <c r="W77" s="3">
        <v>0</v>
      </c>
      <c r="X77" s="3">
        <v>0</v>
      </c>
      <c r="Y77" s="3">
        <v>2660000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8" spans="1:31" x14ac:dyDescent="0.3">
      <c r="A78" s="2" t="s">
        <v>148</v>
      </c>
      <c r="B78" s="3">
        <v>6000</v>
      </c>
      <c r="C78" s="3">
        <v>21500</v>
      </c>
      <c r="D78" s="3">
        <v>8108408.5146223363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15</v>
      </c>
      <c r="L78" s="3">
        <v>15</v>
      </c>
      <c r="M78" s="3">
        <v>0</v>
      </c>
      <c r="N78" s="3">
        <v>0</v>
      </c>
      <c r="O78" s="3">
        <v>0</v>
      </c>
      <c r="P78" s="3">
        <v>0</v>
      </c>
      <c r="Q78" s="3">
        <v>60858600.339329556</v>
      </c>
      <c r="R78" s="3">
        <v>0</v>
      </c>
      <c r="S78" s="3">
        <v>0</v>
      </c>
      <c r="T78" s="3">
        <v>3506150045.8067961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</row>
    <row r="79" spans="1:31" x14ac:dyDescent="0.3">
      <c r="A79" s="2" t="s">
        <v>146</v>
      </c>
      <c r="B79" s="3">
        <v>950000</v>
      </c>
      <c r="C79" s="3">
        <v>47000</v>
      </c>
      <c r="D79" s="3">
        <v>944901388.74826169</v>
      </c>
      <c r="E79" s="3">
        <v>29000</v>
      </c>
      <c r="F79" s="3">
        <v>320000</v>
      </c>
      <c r="G79" s="3">
        <v>313.63636363636363</v>
      </c>
      <c r="H79" s="3">
        <v>0</v>
      </c>
      <c r="I79" s="3">
        <v>0</v>
      </c>
      <c r="J79" s="3">
        <v>0</v>
      </c>
      <c r="K79" s="3">
        <v>30000</v>
      </c>
      <c r="L79" s="3">
        <v>215000</v>
      </c>
      <c r="M79" s="3">
        <v>6850000</v>
      </c>
      <c r="N79" s="3">
        <v>0</v>
      </c>
      <c r="O79" s="3">
        <v>0</v>
      </c>
      <c r="P79" s="3">
        <v>0</v>
      </c>
      <c r="Q79" s="3">
        <v>5988622.8076690082</v>
      </c>
      <c r="R79" s="3">
        <v>0</v>
      </c>
      <c r="S79" s="3">
        <v>0</v>
      </c>
      <c r="T79" s="3">
        <v>683028572.58815408</v>
      </c>
      <c r="U79" s="3">
        <v>10151435.001491334</v>
      </c>
      <c r="V79" s="3">
        <v>372000</v>
      </c>
      <c r="W79" s="3">
        <v>0</v>
      </c>
      <c r="X79" s="3">
        <v>0</v>
      </c>
      <c r="Y79" s="3">
        <v>0</v>
      </c>
      <c r="Z79" s="3">
        <v>420</v>
      </c>
      <c r="AA79" s="3">
        <v>770</v>
      </c>
      <c r="AB79" s="3">
        <v>0</v>
      </c>
      <c r="AC79" s="3">
        <v>270</v>
      </c>
      <c r="AD79" s="3">
        <v>38500</v>
      </c>
      <c r="AE79" s="3">
        <v>22800</v>
      </c>
    </row>
    <row r="80" spans="1:31" x14ac:dyDescent="0.3">
      <c r="A80" s="2" t="s">
        <v>145</v>
      </c>
      <c r="B80" s="3">
        <v>685000</v>
      </c>
      <c r="C80" s="3">
        <v>4000000</v>
      </c>
      <c r="D80" s="3">
        <v>127351917.41450933</v>
      </c>
      <c r="E80" s="3">
        <v>667</v>
      </c>
      <c r="F80" s="3">
        <v>25000</v>
      </c>
      <c r="G80" s="3">
        <v>0</v>
      </c>
      <c r="H80" s="3">
        <v>0</v>
      </c>
      <c r="I80" s="3">
        <v>0</v>
      </c>
      <c r="J80" s="3">
        <v>0</v>
      </c>
      <c r="K80" s="3">
        <v>4600</v>
      </c>
      <c r="L80" s="3">
        <v>18600</v>
      </c>
      <c r="M80" s="3">
        <v>19000000</v>
      </c>
      <c r="N80" s="3">
        <v>0</v>
      </c>
      <c r="O80" s="3">
        <v>0</v>
      </c>
      <c r="P80" s="3">
        <v>0</v>
      </c>
      <c r="Q80" s="3">
        <v>127084317.22879848</v>
      </c>
      <c r="R80" s="3">
        <v>0</v>
      </c>
      <c r="S80" s="3">
        <v>534216997.22974443</v>
      </c>
      <c r="T80" s="3">
        <v>14000116950.823437</v>
      </c>
      <c r="U80" s="3">
        <v>0</v>
      </c>
      <c r="V80" s="3">
        <v>84400</v>
      </c>
      <c r="W80" s="3">
        <v>0</v>
      </c>
      <c r="X80" s="3">
        <v>4300000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</row>
    <row r="81" spans="1:31" x14ac:dyDescent="0.3">
      <c r="A81" s="2" t="s">
        <v>144</v>
      </c>
      <c r="B81" s="3">
        <v>1430000</v>
      </c>
      <c r="C81" s="3">
        <v>135000</v>
      </c>
      <c r="D81" s="3">
        <v>10947920</v>
      </c>
      <c r="E81" s="3">
        <v>20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205000</v>
      </c>
      <c r="L81" s="3">
        <v>1390000</v>
      </c>
      <c r="M81" s="3">
        <v>0</v>
      </c>
      <c r="N81" s="3">
        <v>0</v>
      </c>
      <c r="O81" s="3">
        <v>0</v>
      </c>
      <c r="P81" s="3">
        <v>0</v>
      </c>
      <c r="Q81" s="3">
        <v>150321797.39880699</v>
      </c>
      <c r="R81" s="3">
        <v>358645477.73387134</v>
      </c>
      <c r="S81" s="3">
        <v>0</v>
      </c>
      <c r="T81" s="3">
        <v>13626282240</v>
      </c>
      <c r="U81" s="3">
        <v>0</v>
      </c>
      <c r="V81" s="3">
        <v>682000</v>
      </c>
      <c r="W81" s="3">
        <v>13200000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1:31" x14ac:dyDescent="0.3">
      <c r="A82" s="2" t="s">
        <v>147</v>
      </c>
      <c r="B82" s="3">
        <v>17750000</v>
      </c>
      <c r="C82" s="3">
        <v>1000000</v>
      </c>
      <c r="D82" s="3">
        <v>8282963118.5680065</v>
      </c>
      <c r="E82" s="3">
        <v>105</v>
      </c>
      <c r="F82" s="3">
        <v>71500000</v>
      </c>
      <c r="G82" s="3">
        <v>0</v>
      </c>
      <c r="H82" s="3">
        <v>0</v>
      </c>
      <c r="I82" s="3">
        <v>0</v>
      </c>
      <c r="J82" s="3">
        <v>0</v>
      </c>
      <c r="K82" s="3">
        <v>180000</v>
      </c>
      <c r="L82" s="3">
        <v>2890000</v>
      </c>
      <c r="M82" s="3">
        <v>0</v>
      </c>
      <c r="N82" s="3">
        <v>0</v>
      </c>
      <c r="O82" s="3">
        <v>0</v>
      </c>
      <c r="P82" s="3">
        <v>68398151.57199946</v>
      </c>
      <c r="Q82" s="3">
        <v>354884441.61349022</v>
      </c>
      <c r="R82" s="3">
        <v>0</v>
      </c>
      <c r="S82" s="3">
        <v>0</v>
      </c>
      <c r="T82" s="3">
        <v>27249837932.417366</v>
      </c>
      <c r="U82" s="3">
        <v>0</v>
      </c>
      <c r="V82" s="3">
        <v>176000</v>
      </c>
      <c r="W82" s="3">
        <v>0</v>
      </c>
      <c r="X82" s="3">
        <v>0</v>
      </c>
      <c r="Y82" s="3">
        <v>2040000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</row>
    <row r="83" spans="1:31" x14ac:dyDescent="0.3">
      <c r="A83" s="2" t="s">
        <v>148</v>
      </c>
      <c r="B83" s="3">
        <v>370000</v>
      </c>
      <c r="C83" s="3">
        <v>33000</v>
      </c>
      <c r="D83" s="3">
        <v>9867502.6488367356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7900</v>
      </c>
      <c r="L83" s="3">
        <v>10000</v>
      </c>
      <c r="M83" s="3">
        <v>0</v>
      </c>
      <c r="N83" s="3">
        <v>0</v>
      </c>
      <c r="O83" s="3">
        <v>0</v>
      </c>
      <c r="P83" s="3">
        <v>0</v>
      </c>
      <c r="Q83" s="3">
        <v>37492720.990923166</v>
      </c>
      <c r="R83" s="3">
        <v>0</v>
      </c>
      <c r="S83" s="3">
        <v>0</v>
      </c>
      <c r="T83" s="3">
        <v>11718849303.231459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1:31" x14ac:dyDescent="0.3">
      <c r="A84" s="2" t="s">
        <v>146</v>
      </c>
      <c r="B84" s="3">
        <v>1470000</v>
      </c>
      <c r="C84" s="3">
        <v>325000</v>
      </c>
      <c r="D84" s="3">
        <v>129176511.33198172</v>
      </c>
      <c r="E84" s="3">
        <v>6042</v>
      </c>
      <c r="F84" s="3">
        <v>444000</v>
      </c>
      <c r="G84" s="3">
        <v>7513.6363636363631</v>
      </c>
      <c r="H84" s="3">
        <v>0</v>
      </c>
      <c r="I84" s="3">
        <v>0</v>
      </c>
      <c r="J84" s="3">
        <v>130</v>
      </c>
      <c r="K84" s="3">
        <v>285000</v>
      </c>
      <c r="L84" s="3">
        <v>690000</v>
      </c>
      <c r="M84" s="3">
        <v>254515.338230514</v>
      </c>
      <c r="N84" s="3">
        <v>12985.657976158454</v>
      </c>
      <c r="O84" s="3">
        <v>0</v>
      </c>
      <c r="P84" s="3">
        <v>0</v>
      </c>
      <c r="Q84" s="3">
        <v>6027427.0107815228</v>
      </c>
      <c r="R84" s="3">
        <v>0</v>
      </c>
      <c r="S84" s="3">
        <v>0</v>
      </c>
      <c r="T84" s="3">
        <v>1681911309.7253287</v>
      </c>
      <c r="U84" s="3">
        <v>2214253.8065314195</v>
      </c>
      <c r="V84" s="3">
        <v>342000</v>
      </c>
      <c r="W84" s="3">
        <v>0</v>
      </c>
      <c r="X84" s="3">
        <v>0</v>
      </c>
      <c r="Y84" s="3">
        <v>0</v>
      </c>
      <c r="Z84" s="3">
        <v>290</v>
      </c>
      <c r="AA84" s="3">
        <v>1000</v>
      </c>
      <c r="AB84" s="3">
        <v>0</v>
      </c>
      <c r="AC84" s="3">
        <v>6200</v>
      </c>
      <c r="AD84" s="3">
        <v>132000</v>
      </c>
      <c r="AE84" s="3">
        <v>0</v>
      </c>
    </row>
    <row r="85" spans="1:31" x14ac:dyDescent="0.3">
      <c r="A85" s="2" t="s">
        <v>145</v>
      </c>
      <c r="B85" s="3">
        <v>2087500</v>
      </c>
      <c r="C85" s="3">
        <v>8000000</v>
      </c>
      <c r="D85" s="3">
        <v>26435349.719464652</v>
      </c>
      <c r="E85" s="3">
        <v>375000</v>
      </c>
      <c r="F85" s="3">
        <v>650</v>
      </c>
      <c r="G85" s="3">
        <v>0</v>
      </c>
      <c r="H85" s="3">
        <v>0</v>
      </c>
      <c r="I85" s="3">
        <v>0</v>
      </c>
      <c r="J85" s="3">
        <v>0</v>
      </c>
      <c r="K85" s="3">
        <v>6500</v>
      </c>
      <c r="L85" s="3">
        <v>5450000</v>
      </c>
      <c r="M85" s="3">
        <v>3485250.1935263346</v>
      </c>
      <c r="N85" s="3">
        <v>0</v>
      </c>
      <c r="O85" s="3">
        <v>0</v>
      </c>
      <c r="P85" s="3">
        <v>0</v>
      </c>
      <c r="Q85" s="3">
        <v>63673241.550043337</v>
      </c>
      <c r="R85" s="3">
        <v>0</v>
      </c>
      <c r="S85" s="3">
        <v>1391610311.2947562</v>
      </c>
      <c r="T85" s="3">
        <v>8166251919.447957</v>
      </c>
      <c r="U85" s="3">
        <v>0</v>
      </c>
      <c r="V85" s="3">
        <v>0</v>
      </c>
      <c r="W85" s="3">
        <v>0</v>
      </c>
      <c r="X85" s="3">
        <v>5360000</v>
      </c>
      <c r="Y85" s="3">
        <v>544000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6000</v>
      </c>
    </row>
    <row r="86" spans="1:31" x14ac:dyDescent="0.3">
      <c r="A86" s="2" t="s">
        <v>144</v>
      </c>
      <c r="B86" s="3">
        <v>975000</v>
      </c>
      <c r="C86" s="3">
        <v>6700000</v>
      </c>
      <c r="D86" s="3">
        <v>46687054.254437603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900000</v>
      </c>
      <c r="L86" s="3">
        <v>1120000</v>
      </c>
      <c r="M86" s="3">
        <v>0</v>
      </c>
      <c r="N86" s="3">
        <v>12483430.852405544</v>
      </c>
      <c r="O86" s="3">
        <v>0</v>
      </c>
      <c r="P86" s="3">
        <v>0</v>
      </c>
      <c r="Q86" s="3">
        <v>29906938.66119764</v>
      </c>
      <c r="R86" s="3">
        <v>520549609.31630719</v>
      </c>
      <c r="S86" s="3">
        <v>0</v>
      </c>
      <c r="T86" s="3">
        <v>14706824029.981653</v>
      </c>
      <c r="U86" s="3">
        <v>0</v>
      </c>
      <c r="V86" s="3">
        <v>0</v>
      </c>
      <c r="W86" s="3">
        <v>12200000</v>
      </c>
      <c r="X86" s="3">
        <v>0</v>
      </c>
      <c r="Y86" s="3">
        <v>0</v>
      </c>
      <c r="Z86" s="3">
        <v>0</v>
      </c>
      <c r="AA86" s="3">
        <v>55</v>
      </c>
      <c r="AB86" s="3">
        <v>0</v>
      </c>
      <c r="AC86" s="3">
        <v>0</v>
      </c>
      <c r="AD86" s="3">
        <v>0</v>
      </c>
      <c r="AE86" s="3">
        <v>23600</v>
      </c>
    </row>
    <row r="87" spans="1:31" x14ac:dyDescent="0.3">
      <c r="A87" s="2" t="s">
        <v>147</v>
      </c>
      <c r="B87" s="3">
        <v>140000000</v>
      </c>
      <c r="C87" s="3">
        <v>8550000</v>
      </c>
      <c r="D87" s="3">
        <v>2519423141.9865026</v>
      </c>
      <c r="E87" s="3">
        <v>250</v>
      </c>
      <c r="F87" s="3">
        <v>84200000</v>
      </c>
      <c r="G87" s="3">
        <v>0</v>
      </c>
      <c r="H87" s="3">
        <v>0</v>
      </c>
      <c r="I87" s="3">
        <v>0</v>
      </c>
      <c r="J87" s="3">
        <v>0</v>
      </c>
      <c r="K87" s="3">
        <v>12500</v>
      </c>
      <c r="L87" s="3">
        <v>22400000</v>
      </c>
      <c r="M87" s="3">
        <v>0</v>
      </c>
      <c r="N87" s="3">
        <v>2584538.2266245186</v>
      </c>
      <c r="O87" s="3">
        <v>0</v>
      </c>
      <c r="P87" s="3">
        <v>95248240.10333322</v>
      </c>
      <c r="Q87" s="3">
        <v>62856031.819023162</v>
      </c>
      <c r="R87" s="3">
        <v>0</v>
      </c>
      <c r="S87" s="3">
        <v>0</v>
      </c>
      <c r="T87" s="3">
        <v>549552409.73344851</v>
      </c>
      <c r="U87" s="3">
        <v>0</v>
      </c>
      <c r="V87" s="3">
        <v>0</v>
      </c>
      <c r="W87" s="3">
        <v>0</v>
      </c>
      <c r="X87" s="3">
        <v>0</v>
      </c>
      <c r="Y87" s="3">
        <v>1560000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1:31" x14ac:dyDescent="0.3">
      <c r="A88" s="2" t="s">
        <v>148</v>
      </c>
      <c r="B88" s="3">
        <v>1640000</v>
      </c>
      <c r="C88" s="3">
        <v>710000</v>
      </c>
      <c r="D88" s="3">
        <v>18999144.892252389</v>
      </c>
      <c r="E88" s="3">
        <v>0</v>
      </c>
      <c r="F88" s="3">
        <v>2500</v>
      </c>
      <c r="G88" s="3">
        <v>0</v>
      </c>
      <c r="H88" s="3">
        <v>0</v>
      </c>
      <c r="I88" s="3">
        <v>0</v>
      </c>
      <c r="J88" s="3">
        <v>0</v>
      </c>
      <c r="K88" s="3">
        <v>72500</v>
      </c>
      <c r="L88" s="3">
        <v>247500</v>
      </c>
      <c r="M88" s="3">
        <v>0</v>
      </c>
      <c r="N88" s="3">
        <v>0</v>
      </c>
      <c r="O88" s="3">
        <v>0</v>
      </c>
      <c r="P88" s="3">
        <v>0</v>
      </c>
      <c r="Q88" s="3">
        <v>19152565.664255861</v>
      </c>
      <c r="R88" s="3">
        <v>0</v>
      </c>
      <c r="S88" s="3">
        <v>0</v>
      </c>
      <c r="T88" s="3">
        <v>5029819139.0030365</v>
      </c>
      <c r="U88" s="3">
        <v>1647.1784826180797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1:31" x14ac:dyDescent="0.3">
      <c r="A89" s="2" t="s">
        <v>146</v>
      </c>
      <c r="B89" s="3">
        <v>455000</v>
      </c>
      <c r="C89" s="3">
        <v>44100</v>
      </c>
      <c r="D89" s="3">
        <v>373761956.84400165</v>
      </c>
      <c r="E89" s="3">
        <v>4410</v>
      </c>
      <c r="F89" s="3">
        <v>65000</v>
      </c>
      <c r="G89" s="3">
        <v>125</v>
      </c>
      <c r="H89" s="3">
        <v>10</v>
      </c>
      <c r="I89" s="3">
        <v>0</v>
      </c>
      <c r="J89" s="3">
        <v>70</v>
      </c>
      <c r="K89" s="3">
        <v>3400000</v>
      </c>
      <c r="L89" s="3">
        <v>11200000</v>
      </c>
      <c r="M89" s="3">
        <v>2895000</v>
      </c>
      <c r="N89" s="3">
        <v>0</v>
      </c>
      <c r="O89" s="3">
        <v>0</v>
      </c>
      <c r="P89" s="3">
        <v>0</v>
      </c>
      <c r="Q89" s="3">
        <v>16087625.948856343</v>
      </c>
      <c r="R89" s="3">
        <v>8264.4298048927722</v>
      </c>
      <c r="S89" s="3">
        <v>0</v>
      </c>
      <c r="T89" s="3">
        <v>1926411736.2628291</v>
      </c>
      <c r="U89" s="3">
        <v>32801226.984795105</v>
      </c>
      <c r="V89" s="3">
        <v>180000</v>
      </c>
      <c r="W89" s="3">
        <v>0</v>
      </c>
      <c r="X89" s="3">
        <v>0</v>
      </c>
      <c r="Y89" s="3">
        <v>0</v>
      </c>
      <c r="Z89" s="3">
        <v>290</v>
      </c>
      <c r="AA89" s="3">
        <v>0</v>
      </c>
      <c r="AB89" s="3">
        <v>0</v>
      </c>
      <c r="AC89" s="3">
        <v>220</v>
      </c>
      <c r="AD89" s="3">
        <v>159000</v>
      </c>
      <c r="AE89" s="3">
        <v>48000</v>
      </c>
    </row>
    <row r="90" spans="1:31" x14ac:dyDescent="0.3">
      <c r="A90" s="2" t="s">
        <v>145</v>
      </c>
      <c r="B90" s="3">
        <v>964000</v>
      </c>
      <c r="C90" s="3">
        <v>35900</v>
      </c>
      <c r="D90" s="3">
        <v>1365246168.3052144</v>
      </c>
      <c r="E90" s="3">
        <v>0</v>
      </c>
      <c r="F90" s="3">
        <v>827000</v>
      </c>
      <c r="G90" s="3">
        <v>0</v>
      </c>
      <c r="H90" s="3">
        <v>0</v>
      </c>
      <c r="I90" s="3">
        <v>10</v>
      </c>
      <c r="J90" s="3">
        <v>0</v>
      </c>
      <c r="K90" s="3">
        <v>0</v>
      </c>
      <c r="L90" s="3">
        <v>109000000</v>
      </c>
      <c r="M90" s="3">
        <v>0</v>
      </c>
      <c r="N90" s="3">
        <v>0</v>
      </c>
      <c r="O90" s="3">
        <v>0</v>
      </c>
      <c r="P90" s="3">
        <v>0</v>
      </c>
      <c r="Q90" s="3">
        <v>122253685.38958994</v>
      </c>
      <c r="R90" s="3">
        <v>0</v>
      </c>
      <c r="S90" s="3">
        <v>37252827177.348877</v>
      </c>
      <c r="T90" s="3">
        <v>26228884752.897964</v>
      </c>
      <c r="U90" s="3">
        <v>0</v>
      </c>
      <c r="V90" s="3">
        <v>51800</v>
      </c>
      <c r="W90" s="3">
        <v>0</v>
      </c>
      <c r="X90" s="3">
        <v>5420000</v>
      </c>
      <c r="Y90" s="3">
        <v>0</v>
      </c>
      <c r="Z90" s="3">
        <v>0</v>
      </c>
      <c r="AA90" s="3">
        <v>0</v>
      </c>
      <c r="AB90" s="3">
        <v>0</v>
      </c>
      <c r="AC90" s="3">
        <v>180</v>
      </c>
      <c r="AD90" s="3">
        <v>0</v>
      </c>
      <c r="AE90" s="3">
        <v>69200</v>
      </c>
    </row>
    <row r="91" spans="1:31" x14ac:dyDescent="0.3">
      <c r="A91" s="2" t="s">
        <v>144</v>
      </c>
      <c r="B91" s="3">
        <v>450000</v>
      </c>
      <c r="C91" s="3">
        <v>270000</v>
      </c>
      <c r="D91" s="3">
        <v>13755939.248041399</v>
      </c>
      <c r="E91" s="3">
        <v>1100</v>
      </c>
      <c r="F91" s="3">
        <v>2910</v>
      </c>
      <c r="G91" s="3">
        <v>0</v>
      </c>
      <c r="H91" s="3">
        <v>0</v>
      </c>
      <c r="I91" s="3">
        <v>0</v>
      </c>
      <c r="J91" s="3">
        <v>0</v>
      </c>
      <c r="K91" s="3">
        <v>2950000</v>
      </c>
      <c r="L91" s="3">
        <v>28500000</v>
      </c>
      <c r="M91" s="3">
        <v>0</v>
      </c>
      <c r="N91" s="3">
        <v>0</v>
      </c>
      <c r="O91" s="3">
        <v>0</v>
      </c>
      <c r="P91" s="3">
        <v>0</v>
      </c>
      <c r="Q91" s="3">
        <v>12424873.047760226</v>
      </c>
      <c r="R91" s="3">
        <v>44273985.912235193</v>
      </c>
      <c r="S91" s="3">
        <v>0</v>
      </c>
      <c r="T91" s="3">
        <v>735556798.48872685</v>
      </c>
      <c r="U91" s="3">
        <v>236.08405282864828</v>
      </c>
      <c r="V91" s="3">
        <v>0</v>
      </c>
      <c r="W91" s="3">
        <v>177000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1:31" x14ac:dyDescent="0.3">
      <c r="A92" s="2" t="s">
        <v>147</v>
      </c>
      <c r="B92" s="3">
        <v>20000</v>
      </c>
      <c r="C92" s="3">
        <v>4640</v>
      </c>
      <c r="D92" s="3">
        <v>14683220.791039795</v>
      </c>
      <c r="E92" s="3">
        <v>0</v>
      </c>
      <c r="F92" s="3">
        <v>90</v>
      </c>
      <c r="G92" s="3">
        <v>0</v>
      </c>
      <c r="H92" s="3">
        <v>0</v>
      </c>
      <c r="I92" s="3">
        <v>0</v>
      </c>
      <c r="J92" s="3">
        <v>0</v>
      </c>
      <c r="K92" s="3">
        <v>2270</v>
      </c>
      <c r="L92" s="3">
        <v>24500</v>
      </c>
      <c r="M92" s="3">
        <v>0</v>
      </c>
      <c r="N92" s="3">
        <v>0</v>
      </c>
      <c r="O92" s="3">
        <v>0</v>
      </c>
      <c r="P92" s="3">
        <v>1382575.0817648636</v>
      </c>
      <c r="Q92" s="3">
        <v>4198092.07920908</v>
      </c>
      <c r="R92" s="3">
        <v>0</v>
      </c>
      <c r="S92" s="3">
        <v>0</v>
      </c>
      <c r="T92" s="3">
        <v>677572508.35555899</v>
      </c>
      <c r="U92" s="3">
        <v>0</v>
      </c>
      <c r="V92" s="3">
        <v>0</v>
      </c>
      <c r="W92" s="3">
        <v>0</v>
      </c>
      <c r="X92" s="3">
        <v>0</v>
      </c>
      <c r="Y92" s="3">
        <v>1910000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1:31" x14ac:dyDescent="0.3">
      <c r="A93" s="2" t="s">
        <v>146</v>
      </c>
      <c r="B93" s="3">
        <v>659090</v>
      </c>
      <c r="C93" s="3">
        <v>65454</v>
      </c>
      <c r="D93" s="3">
        <v>434539368.92138553</v>
      </c>
      <c r="E93" s="3">
        <v>8136</v>
      </c>
      <c r="F93" s="3">
        <v>47272</v>
      </c>
      <c r="G93" s="3">
        <v>10</v>
      </c>
      <c r="H93" s="3">
        <v>0</v>
      </c>
      <c r="I93" s="3">
        <v>0</v>
      </c>
      <c r="J93" s="3">
        <v>0</v>
      </c>
      <c r="K93" s="3">
        <v>1523809.5238095238</v>
      </c>
      <c r="L93" s="3">
        <v>3761904.7619047612</v>
      </c>
      <c r="M93" s="3">
        <v>6650000</v>
      </c>
      <c r="N93" s="3">
        <v>0</v>
      </c>
      <c r="O93" s="3">
        <v>0</v>
      </c>
      <c r="P93" s="3">
        <v>0</v>
      </c>
      <c r="Q93" s="3">
        <v>26797048.358173355</v>
      </c>
      <c r="R93" s="3">
        <v>113.13708498984759</v>
      </c>
      <c r="S93" s="3">
        <v>0</v>
      </c>
      <c r="T93" s="3">
        <v>5247822785.8872395</v>
      </c>
      <c r="U93" s="3">
        <v>20731583.157877326</v>
      </c>
      <c r="V93" s="3">
        <v>81400</v>
      </c>
      <c r="W93" s="3">
        <v>0</v>
      </c>
      <c r="X93" s="3">
        <v>0</v>
      </c>
      <c r="Y93" s="3">
        <v>0</v>
      </c>
      <c r="Z93" s="3">
        <v>230</v>
      </c>
      <c r="AA93" s="3">
        <v>0</v>
      </c>
      <c r="AB93" s="3">
        <v>0</v>
      </c>
      <c r="AC93" s="3">
        <v>84</v>
      </c>
      <c r="AD93" s="3">
        <v>0</v>
      </c>
      <c r="AE93" s="3">
        <v>204400</v>
      </c>
    </row>
    <row r="94" spans="1:31" x14ac:dyDescent="0.3">
      <c r="A94" s="2" t="s">
        <v>144</v>
      </c>
      <c r="B94" s="3">
        <v>167272</v>
      </c>
      <c r="C94" s="3">
        <v>83000</v>
      </c>
      <c r="D94" s="3">
        <v>92204810.370921522</v>
      </c>
      <c r="E94" s="3">
        <v>0</v>
      </c>
      <c r="F94" s="3">
        <v>100</v>
      </c>
      <c r="G94" s="3">
        <v>0</v>
      </c>
      <c r="H94" s="3">
        <v>0</v>
      </c>
      <c r="I94" s="3">
        <v>0</v>
      </c>
      <c r="J94" s="3">
        <v>0</v>
      </c>
      <c r="K94" s="3">
        <v>14545.454545454544</v>
      </c>
      <c r="L94" s="3">
        <v>79545.454545454515</v>
      </c>
      <c r="M94" s="3">
        <v>0</v>
      </c>
      <c r="N94" s="3">
        <v>0</v>
      </c>
      <c r="O94" s="3">
        <v>0</v>
      </c>
      <c r="P94" s="3">
        <v>0</v>
      </c>
      <c r="Q94" s="3">
        <v>24322709.901823178</v>
      </c>
      <c r="R94" s="3">
        <v>148512673.54436791</v>
      </c>
      <c r="S94" s="3">
        <v>0</v>
      </c>
      <c r="T94" s="3">
        <v>2215601192.2443109</v>
      </c>
      <c r="U94" s="3">
        <v>0</v>
      </c>
      <c r="V94" s="3">
        <v>70800</v>
      </c>
      <c r="W94" s="3">
        <v>2560000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1:31" x14ac:dyDescent="0.3">
      <c r="A95" s="2" t="s">
        <v>147</v>
      </c>
      <c r="B95" s="3">
        <v>30000000</v>
      </c>
      <c r="C95" s="3">
        <v>5750000</v>
      </c>
      <c r="D95" s="3">
        <v>1748280323.3820705</v>
      </c>
      <c r="E95" s="3">
        <v>0</v>
      </c>
      <c r="F95" s="3">
        <v>1850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60000000</v>
      </c>
      <c r="M95" s="3">
        <v>0</v>
      </c>
      <c r="N95" s="3">
        <v>0</v>
      </c>
      <c r="O95" s="3">
        <v>0</v>
      </c>
      <c r="P95" s="3">
        <v>8515696.875</v>
      </c>
      <c r="Q95" s="3">
        <v>25283777.508850023</v>
      </c>
      <c r="R95" s="3">
        <v>0</v>
      </c>
      <c r="S95" s="3">
        <v>0</v>
      </c>
      <c r="T95" s="3">
        <v>1358828426.1447792</v>
      </c>
      <c r="U95" s="3">
        <v>0</v>
      </c>
      <c r="V95" s="3">
        <v>0</v>
      </c>
      <c r="W95" s="3">
        <v>0</v>
      </c>
      <c r="X95" s="3">
        <v>0</v>
      </c>
      <c r="Y95" s="3">
        <v>1690000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</row>
    <row r="96" spans="1:31" x14ac:dyDescent="0.3">
      <c r="A96" s="2" t="s">
        <v>146</v>
      </c>
      <c r="B96" s="3">
        <v>1890909</v>
      </c>
      <c r="C96" s="3">
        <v>87272</v>
      </c>
      <c r="D96" s="3">
        <v>1774908040.8795471</v>
      </c>
      <c r="E96" s="3">
        <v>7272</v>
      </c>
      <c r="F96" s="3">
        <v>76363</v>
      </c>
      <c r="G96" s="3">
        <v>3100</v>
      </c>
      <c r="H96" s="3">
        <v>0</v>
      </c>
      <c r="I96" s="3">
        <v>0</v>
      </c>
      <c r="J96" s="3">
        <v>50</v>
      </c>
      <c r="K96" s="3">
        <v>2772727.2727272725</v>
      </c>
      <c r="L96" s="3">
        <v>5954545.4545454541</v>
      </c>
      <c r="M96" s="3">
        <v>211000</v>
      </c>
      <c r="N96" s="3">
        <v>0</v>
      </c>
      <c r="O96" s="3">
        <v>0</v>
      </c>
      <c r="P96" s="3">
        <v>0</v>
      </c>
      <c r="Q96" s="3">
        <v>1836588.920262781</v>
      </c>
      <c r="R96" s="3">
        <v>120</v>
      </c>
      <c r="S96" s="3">
        <v>1526.302722267113</v>
      </c>
      <c r="T96" s="3">
        <v>3771775664.8025579</v>
      </c>
      <c r="U96" s="3">
        <v>68144788.179324999</v>
      </c>
      <c r="V96" s="3">
        <v>140000</v>
      </c>
      <c r="W96" s="3">
        <v>0</v>
      </c>
      <c r="X96" s="3">
        <v>0</v>
      </c>
      <c r="Y96" s="3">
        <v>0</v>
      </c>
      <c r="Z96" s="3">
        <v>400</v>
      </c>
      <c r="AA96" s="3">
        <v>110</v>
      </c>
      <c r="AB96" s="3">
        <v>0</v>
      </c>
      <c r="AC96" s="3">
        <v>140</v>
      </c>
      <c r="AD96" s="3">
        <v>754000</v>
      </c>
      <c r="AE96" s="3">
        <v>246000</v>
      </c>
    </row>
    <row r="97" spans="1:31" x14ac:dyDescent="0.3">
      <c r="A97" s="2" t="s">
        <v>144</v>
      </c>
      <c r="B97" s="3">
        <v>45909</v>
      </c>
      <c r="C97" s="3">
        <v>13181</v>
      </c>
      <c r="D97" s="3">
        <v>173575154.40402177</v>
      </c>
      <c r="E97" s="3">
        <v>197</v>
      </c>
      <c r="F97" s="3">
        <v>11318</v>
      </c>
      <c r="G97" s="3">
        <v>0</v>
      </c>
      <c r="H97" s="3">
        <v>0</v>
      </c>
      <c r="I97" s="3">
        <v>0</v>
      </c>
      <c r="J97" s="3">
        <v>0</v>
      </c>
      <c r="K97" s="3">
        <v>2000</v>
      </c>
      <c r="L97" s="3">
        <v>49090.909090909088</v>
      </c>
      <c r="M97" s="3">
        <v>0</v>
      </c>
      <c r="N97" s="3">
        <v>7166283.0877316203</v>
      </c>
      <c r="O97" s="3">
        <v>0</v>
      </c>
      <c r="P97" s="3">
        <v>0</v>
      </c>
      <c r="Q97" s="3">
        <v>8060406.7861816697</v>
      </c>
      <c r="R97" s="3">
        <v>115063962.44343963</v>
      </c>
      <c r="S97" s="3">
        <v>0</v>
      </c>
      <c r="T97" s="3">
        <v>1966703642.004302</v>
      </c>
      <c r="U97" s="3">
        <v>0</v>
      </c>
      <c r="V97" s="3">
        <v>114000</v>
      </c>
      <c r="W97" s="3">
        <v>1110000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1:31" x14ac:dyDescent="0.3">
      <c r="A98" s="2" t="s">
        <v>147</v>
      </c>
      <c r="B98" s="3">
        <v>740909090</v>
      </c>
      <c r="C98" s="3">
        <v>2409090</v>
      </c>
      <c r="D98" s="3">
        <v>31035079110.995617</v>
      </c>
      <c r="E98" s="3">
        <v>185454</v>
      </c>
      <c r="F98" s="3">
        <v>135454</v>
      </c>
      <c r="G98" s="3">
        <v>0</v>
      </c>
      <c r="H98" s="3">
        <v>0</v>
      </c>
      <c r="I98" s="3">
        <v>0</v>
      </c>
      <c r="J98" s="3">
        <v>0</v>
      </c>
      <c r="K98" s="3">
        <v>47727272.727272727</v>
      </c>
      <c r="L98" s="3">
        <v>195454545.45454544</v>
      </c>
      <c r="M98" s="3">
        <v>0</v>
      </c>
      <c r="N98" s="3">
        <v>0</v>
      </c>
      <c r="O98" s="3">
        <v>0</v>
      </c>
      <c r="P98" s="3">
        <v>31521.869010362101</v>
      </c>
      <c r="Q98" s="3">
        <v>358382.63640548853</v>
      </c>
      <c r="R98" s="3">
        <v>0</v>
      </c>
      <c r="S98" s="3">
        <v>0</v>
      </c>
      <c r="T98" s="3">
        <v>888786.50574814645</v>
      </c>
      <c r="U98" s="3">
        <v>0</v>
      </c>
      <c r="V98" s="3">
        <v>0</v>
      </c>
      <c r="W98" s="3">
        <v>0</v>
      </c>
      <c r="X98" s="3">
        <v>0</v>
      </c>
      <c r="Y98" s="3">
        <v>87000</v>
      </c>
      <c r="Z98" s="3">
        <v>0</v>
      </c>
      <c r="AA98" s="3">
        <v>0</v>
      </c>
      <c r="AB98" s="3">
        <v>0</v>
      </c>
      <c r="AC98" s="3">
        <v>100</v>
      </c>
      <c r="AD98" s="3">
        <v>0</v>
      </c>
      <c r="AE98" s="3">
        <v>0</v>
      </c>
    </row>
    <row r="99" spans="1:31" x14ac:dyDescent="0.3">
      <c r="A99" s="2" t="s">
        <v>146</v>
      </c>
      <c r="B99" s="3">
        <v>1000000</v>
      </c>
      <c r="C99" s="3">
        <v>80000</v>
      </c>
      <c r="D99" s="3">
        <v>157195555.99365395</v>
      </c>
      <c r="E99" s="3">
        <v>3800</v>
      </c>
      <c r="F99" s="3">
        <v>260000</v>
      </c>
      <c r="G99" s="3">
        <v>6350</v>
      </c>
      <c r="H99" s="3">
        <v>0</v>
      </c>
      <c r="I99" s="3">
        <v>10</v>
      </c>
      <c r="J99" s="3">
        <v>20</v>
      </c>
      <c r="K99" s="3">
        <v>3500000</v>
      </c>
      <c r="L99" s="3">
        <v>5300000</v>
      </c>
      <c r="M99" s="3">
        <v>3562090.588961991</v>
      </c>
      <c r="N99" s="3">
        <v>12630.250378921375</v>
      </c>
      <c r="O99" s="3">
        <v>1842052.3142283899</v>
      </c>
      <c r="P99" s="3">
        <v>0</v>
      </c>
      <c r="Q99" s="3">
        <v>55239146.539548673</v>
      </c>
      <c r="R99" s="3">
        <v>120</v>
      </c>
      <c r="S99" s="3">
        <v>452.54833995939038</v>
      </c>
      <c r="T99" s="3">
        <v>1886210582.9811254</v>
      </c>
      <c r="U99" s="3">
        <v>30463501.345509186</v>
      </c>
      <c r="V99" s="3">
        <v>462000</v>
      </c>
      <c r="W99" s="3">
        <v>0</v>
      </c>
      <c r="X99" s="3">
        <v>0</v>
      </c>
      <c r="Y99" s="3">
        <v>0</v>
      </c>
      <c r="Z99" s="3">
        <v>290</v>
      </c>
      <c r="AA99" s="3">
        <v>130</v>
      </c>
      <c r="AB99" s="3">
        <v>0</v>
      </c>
      <c r="AC99" s="3">
        <v>130</v>
      </c>
      <c r="AD99" s="3">
        <v>299600</v>
      </c>
      <c r="AE99" s="3">
        <v>36400</v>
      </c>
    </row>
    <row r="100" spans="1:31" x14ac:dyDescent="0.3">
      <c r="A100" s="2" t="s">
        <v>147</v>
      </c>
      <c r="B100" s="3">
        <v>390000000</v>
      </c>
      <c r="C100" s="3">
        <v>120000000</v>
      </c>
      <c r="D100" s="3">
        <v>339095445.44465947</v>
      </c>
      <c r="E100" s="3">
        <v>880000</v>
      </c>
      <c r="F100" s="3">
        <v>26000000</v>
      </c>
      <c r="G100" s="3">
        <v>0</v>
      </c>
      <c r="H100" s="3">
        <v>0</v>
      </c>
      <c r="I100" s="3">
        <v>0</v>
      </c>
      <c r="J100" s="3">
        <v>0</v>
      </c>
      <c r="K100" s="3">
        <v>400000000</v>
      </c>
      <c r="L100" s="3">
        <v>1400000000</v>
      </c>
      <c r="M100" s="3">
        <v>0</v>
      </c>
      <c r="N100" s="3">
        <v>0</v>
      </c>
      <c r="O100" s="3">
        <v>0</v>
      </c>
      <c r="P100" s="3">
        <v>68116442.796372309</v>
      </c>
      <c r="Q100" s="3">
        <v>180120008.99775669</v>
      </c>
      <c r="R100" s="3">
        <v>0</v>
      </c>
      <c r="S100" s="3">
        <v>0</v>
      </c>
      <c r="T100" s="3">
        <v>1290669141.9052789</v>
      </c>
      <c r="U100" s="3">
        <v>0</v>
      </c>
      <c r="V100" s="3">
        <v>0</v>
      </c>
      <c r="W100" s="3">
        <v>0</v>
      </c>
      <c r="X100" s="3">
        <v>0</v>
      </c>
      <c r="Y100" s="3">
        <v>2680000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1:31" x14ac:dyDescent="0.3">
      <c r="A101" s="2" t="s">
        <v>144</v>
      </c>
      <c r="B101" s="3">
        <v>58000</v>
      </c>
      <c r="C101" s="3">
        <v>31000</v>
      </c>
      <c r="D101" s="3">
        <v>25779096.30366433</v>
      </c>
      <c r="E101" s="3">
        <v>2700</v>
      </c>
      <c r="F101" s="3">
        <v>350</v>
      </c>
      <c r="G101" s="3">
        <v>0</v>
      </c>
      <c r="H101" s="3">
        <v>0</v>
      </c>
      <c r="I101" s="3">
        <v>0</v>
      </c>
      <c r="J101" s="3">
        <v>0</v>
      </c>
      <c r="K101" s="3">
        <v>2700</v>
      </c>
      <c r="L101" s="3">
        <v>34000</v>
      </c>
      <c r="M101" s="3">
        <v>0</v>
      </c>
      <c r="N101" s="3">
        <v>6717.8292344130314</v>
      </c>
      <c r="O101" s="3">
        <v>230782.01449455746</v>
      </c>
      <c r="P101" s="3">
        <v>0</v>
      </c>
      <c r="Q101" s="3">
        <v>14508147.4235895</v>
      </c>
      <c r="R101" s="3">
        <v>4147446.592977419</v>
      </c>
      <c r="S101" s="3">
        <v>0</v>
      </c>
      <c r="T101" s="3">
        <v>469231518.39017802</v>
      </c>
      <c r="U101" s="3">
        <v>0</v>
      </c>
      <c r="V101" s="3">
        <v>0</v>
      </c>
      <c r="W101" s="3">
        <v>238000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1:31" x14ac:dyDescent="0.3">
      <c r="A102" s="2" t="s">
        <v>147</v>
      </c>
      <c r="B102" s="3">
        <v>110000000</v>
      </c>
      <c r="C102" s="3">
        <v>11000000</v>
      </c>
      <c r="D102" s="3">
        <v>68213634.715039194</v>
      </c>
      <c r="E102" s="3">
        <v>1300</v>
      </c>
      <c r="F102" s="3">
        <v>83000000</v>
      </c>
      <c r="G102" s="3">
        <v>0</v>
      </c>
      <c r="H102" s="3">
        <v>0</v>
      </c>
      <c r="I102" s="3">
        <v>0</v>
      </c>
      <c r="J102" s="3">
        <v>0</v>
      </c>
      <c r="K102" s="3">
        <v>9100000</v>
      </c>
      <c r="L102" s="3">
        <v>19000000</v>
      </c>
      <c r="M102" s="3">
        <v>0</v>
      </c>
      <c r="N102" s="3">
        <v>2789497.3937758058</v>
      </c>
      <c r="O102" s="3">
        <v>45983.493201597856</v>
      </c>
      <c r="P102" s="3">
        <v>1417937.0807684434</v>
      </c>
      <c r="Q102" s="3">
        <v>17384089.930383287</v>
      </c>
      <c r="R102" s="3">
        <v>0</v>
      </c>
      <c r="S102" s="3">
        <v>0</v>
      </c>
      <c r="T102" s="3">
        <v>5671228819.0948629</v>
      </c>
      <c r="U102" s="3">
        <v>0</v>
      </c>
      <c r="V102" s="3">
        <v>0</v>
      </c>
      <c r="W102" s="3">
        <v>0</v>
      </c>
      <c r="X102" s="3">
        <v>0</v>
      </c>
      <c r="Y102" s="3">
        <v>32600000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4085-45E3-40E4-BCFE-A28FFA6B1B17}">
  <dimension ref="A1:AH16"/>
  <sheetViews>
    <sheetView tabSelected="1" workbookViewId="0">
      <selection activeCell="E18" sqref="E18"/>
    </sheetView>
  </sheetViews>
  <sheetFormatPr baseColWidth="10" defaultRowHeight="14.4" x14ac:dyDescent="0.3"/>
  <cols>
    <col min="1" max="2" width="11.5546875" style="1"/>
    <col min="3" max="4" width="11.5546875" style="2"/>
    <col min="5" max="6" width="13.44140625" style="3" bestFit="1" customWidth="1"/>
    <col min="7" max="7" width="15.44140625" style="3" bestFit="1" customWidth="1"/>
    <col min="8" max="8" width="11.6640625" style="3" bestFit="1" customWidth="1"/>
    <col min="9" max="9" width="13.44140625" style="3" bestFit="1" customWidth="1"/>
    <col min="10" max="13" width="11.6640625" style="3" bestFit="1" customWidth="1"/>
    <col min="14" max="14" width="13.44140625" style="3" bestFit="1" customWidth="1"/>
    <col min="15" max="15" width="14.44140625" style="3" bestFit="1" customWidth="1"/>
    <col min="16" max="17" width="12.44140625" style="3" bestFit="1" customWidth="1"/>
    <col min="18" max="18" width="11.6640625" style="3" bestFit="1" customWidth="1"/>
    <col min="19" max="19" width="12.44140625" style="3" bestFit="1" customWidth="1"/>
    <col min="20" max="20" width="14.44140625" style="3" bestFit="1" customWidth="1"/>
    <col min="21" max="22" width="15.44140625" style="3" bestFit="1" customWidth="1"/>
    <col min="23" max="23" width="16.5546875" style="3" bestFit="1" customWidth="1"/>
    <col min="24" max="25" width="12.44140625" style="3" bestFit="1" customWidth="1"/>
    <col min="26" max="28" width="13.44140625" style="3" bestFit="1" customWidth="1"/>
    <col min="29" max="34" width="11.6640625" style="3" bestFit="1" customWidth="1"/>
    <col min="35" max="16384" width="11.5546875" style="1"/>
  </cols>
  <sheetData>
    <row r="1" spans="1:34" x14ac:dyDescent="0.3">
      <c r="A1" s="1" t="s">
        <v>152</v>
      </c>
      <c r="B1" s="1" t="s">
        <v>149</v>
      </c>
      <c r="C1" s="2" t="s">
        <v>143</v>
      </c>
      <c r="D1" s="2" t="s">
        <v>150</v>
      </c>
      <c r="E1" s="3" t="s">
        <v>0</v>
      </c>
      <c r="F1" s="3" t="s">
        <v>1</v>
      </c>
      <c r="G1" s="3" t="s">
        <v>19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</row>
    <row r="2" spans="1:34" s="5" customFormat="1" x14ac:dyDescent="0.3">
      <c r="A2" s="5">
        <v>4</v>
      </c>
      <c r="B2" s="5" t="s">
        <v>33</v>
      </c>
      <c r="C2" s="6" t="s">
        <v>146</v>
      </c>
      <c r="D2" s="6" t="s">
        <v>146</v>
      </c>
      <c r="E2" s="7">
        <v>1430000</v>
      </c>
      <c r="F2" s="7">
        <v>78600</v>
      </c>
      <c r="G2" s="7">
        <v>714196906.6949867</v>
      </c>
      <c r="H2" s="7">
        <v>26800</v>
      </c>
      <c r="I2" s="7">
        <v>200000</v>
      </c>
      <c r="J2" s="7">
        <v>1154.5454545454545</v>
      </c>
      <c r="K2" s="7">
        <v>0</v>
      </c>
      <c r="L2" s="7">
        <v>1300</v>
      </c>
      <c r="M2" s="7">
        <v>30</v>
      </c>
      <c r="N2" s="7">
        <v>10000</v>
      </c>
      <c r="O2" s="7">
        <v>175000</v>
      </c>
      <c r="P2" s="7">
        <v>30100000</v>
      </c>
      <c r="Q2" s="7">
        <v>0</v>
      </c>
      <c r="R2" s="7">
        <v>0</v>
      </c>
      <c r="S2" s="7">
        <v>0</v>
      </c>
      <c r="T2" s="7">
        <v>57052142.724053502</v>
      </c>
      <c r="U2" s="7">
        <v>0</v>
      </c>
      <c r="V2" s="7">
        <v>0</v>
      </c>
      <c r="W2" s="7">
        <v>7299421454.370163</v>
      </c>
      <c r="X2" s="7">
        <v>5974482.5459294254</v>
      </c>
      <c r="Y2" s="7">
        <v>183000</v>
      </c>
      <c r="Z2" s="7">
        <v>0</v>
      </c>
      <c r="AA2" s="7">
        <v>0</v>
      </c>
      <c r="AB2" s="7">
        <v>0</v>
      </c>
      <c r="AC2" s="7">
        <v>390</v>
      </c>
      <c r="AD2" s="7">
        <v>1240</v>
      </c>
      <c r="AE2" s="7">
        <v>0</v>
      </c>
      <c r="AF2" s="7">
        <v>430</v>
      </c>
      <c r="AG2" s="7">
        <v>130000</v>
      </c>
      <c r="AH2" s="7">
        <v>91200</v>
      </c>
    </row>
    <row r="3" spans="1:34" s="5" customFormat="1" x14ac:dyDescent="0.3">
      <c r="A3" s="5">
        <v>10</v>
      </c>
      <c r="B3" s="5" t="s">
        <v>39</v>
      </c>
      <c r="C3" s="6" t="s">
        <v>145</v>
      </c>
      <c r="D3" s="6" t="s">
        <v>151</v>
      </c>
      <c r="E3" s="7">
        <v>1181818</v>
      </c>
      <c r="F3" s="7">
        <v>80000</v>
      </c>
      <c r="G3" s="7">
        <v>105052245.52595152</v>
      </c>
      <c r="H3" s="7">
        <v>46363</v>
      </c>
      <c r="I3" s="7">
        <v>2272727</v>
      </c>
      <c r="J3" s="7">
        <v>0</v>
      </c>
      <c r="K3" s="7">
        <v>0</v>
      </c>
      <c r="L3" s="7">
        <v>35350</v>
      </c>
      <c r="M3" s="7">
        <v>0</v>
      </c>
      <c r="N3" s="7">
        <v>5454.545454545455</v>
      </c>
      <c r="O3" s="7">
        <v>3850000</v>
      </c>
      <c r="P3" s="7">
        <v>0</v>
      </c>
      <c r="Q3" s="7">
        <v>0</v>
      </c>
      <c r="R3" s="7">
        <v>0</v>
      </c>
      <c r="S3" s="7">
        <v>0</v>
      </c>
      <c r="T3" s="7">
        <v>44062786.684784584</v>
      </c>
      <c r="U3" s="7">
        <v>0</v>
      </c>
      <c r="V3" s="7">
        <v>204737609.89520222</v>
      </c>
      <c r="W3" s="7">
        <v>2455218331.519578</v>
      </c>
      <c r="X3" s="7">
        <v>54619.885304896052</v>
      </c>
      <c r="Y3" s="7">
        <v>0</v>
      </c>
      <c r="Z3" s="7">
        <v>0</v>
      </c>
      <c r="AA3" s="7">
        <v>11700000</v>
      </c>
      <c r="AB3" s="7">
        <v>0</v>
      </c>
      <c r="AC3" s="7">
        <v>66</v>
      </c>
      <c r="AD3" s="7">
        <v>50</v>
      </c>
      <c r="AE3" s="7">
        <v>0</v>
      </c>
      <c r="AF3" s="7">
        <v>154</v>
      </c>
      <c r="AG3" s="7">
        <v>0</v>
      </c>
      <c r="AH3" s="7">
        <v>229600</v>
      </c>
    </row>
    <row r="4" spans="1:34" s="5" customFormat="1" x14ac:dyDescent="0.3">
      <c r="A4" s="5">
        <v>22</v>
      </c>
      <c r="B4" s="5" t="s">
        <v>51</v>
      </c>
      <c r="C4" s="6" t="s">
        <v>147</v>
      </c>
      <c r="D4" s="6" t="s">
        <v>151</v>
      </c>
      <c r="E4" s="7">
        <v>8136363</v>
      </c>
      <c r="F4" s="7">
        <v>481818</v>
      </c>
      <c r="G4" s="7">
        <v>2142909074.9294496</v>
      </c>
      <c r="H4" s="7">
        <v>1328</v>
      </c>
      <c r="I4" s="7">
        <v>5454545</v>
      </c>
      <c r="J4" s="7">
        <v>0</v>
      </c>
      <c r="K4" s="7">
        <v>0</v>
      </c>
      <c r="L4" s="7">
        <v>0</v>
      </c>
      <c r="M4" s="7">
        <v>50</v>
      </c>
      <c r="N4" s="7">
        <v>23181.818181818184</v>
      </c>
      <c r="O4" s="7">
        <v>570454.54545454553</v>
      </c>
      <c r="P4" s="7">
        <v>0</v>
      </c>
      <c r="Q4" s="7">
        <v>0</v>
      </c>
      <c r="R4" s="7">
        <v>0</v>
      </c>
      <c r="S4" s="7">
        <v>20054967.382788099</v>
      </c>
      <c r="T4" s="7">
        <v>572343770.17011642</v>
      </c>
      <c r="U4" s="7">
        <v>0</v>
      </c>
      <c r="V4" s="7">
        <v>0</v>
      </c>
      <c r="W4" s="7">
        <v>420166125.92411584</v>
      </c>
      <c r="X4" s="7">
        <v>1850552.8531603306</v>
      </c>
      <c r="Y4" s="7">
        <v>5280000</v>
      </c>
      <c r="Z4" s="7">
        <v>0</v>
      </c>
      <c r="AA4" s="7">
        <v>0</v>
      </c>
      <c r="AB4" s="7">
        <v>346000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</row>
    <row r="5" spans="1:34" s="5" customFormat="1" x14ac:dyDescent="0.3">
      <c r="A5" s="5">
        <v>32</v>
      </c>
      <c r="B5" s="5" t="s">
        <v>61</v>
      </c>
      <c r="C5" s="6" t="s">
        <v>145</v>
      </c>
      <c r="D5" s="6" t="s">
        <v>151</v>
      </c>
      <c r="E5" s="7">
        <v>33300</v>
      </c>
      <c r="F5" s="7">
        <v>3900</v>
      </c>
      <c r="G5" s="7">
        <v>917122715.4822433</v>
      </c>
      <c r="H5" s="7">
        <v>30</v>
      </c>
      <c r="I5" s="7">
        <v>10</v>
      </c>
      <c r="J5" s="7">
        <v>0</v>
      </c>
      <c r="K5" s="7">
        <v>0</v>
      </c>
      <c r="L5" s="7">
        <v>0</v>
      </c>
      <c r="M5" s="7">
        <v>0</v>
      </c>
      <c r="N5" s="7">
        <v>409</v>
      </c>
      <c r="O5" s="7">
        <v>14800000</v>
      </c>
      <c r="P5" s="7">
        <v>0</v>
      </c>
      <c r="Q5" s="7">
        <v>26800000</v>
      </c>
      <c r="R5" s="7">
        <v>0</v>
      </c>
      <c r="S5" s="7">
        <v>0</v>
      </c>
      <c r="T5" s="7">
        <v>24322709.901823178</v>
      </c>
      <c r="U5" s="7">
        <v>0</v>
      </c>
      <c r="V5" s="7">
        <v>6809556436.8751297</v>
      </c>
      <c r="W5" s="7">
        <v>10247650423.896111</v>
      </c>
      <c r="X5" s="7">
        <v>0</v>
      </c>
      <c r="Y5" s="7">
        <v>0</v>
      </c>
      <c r="Z5" s="7">
        <v>0</v>
      </c>
      <c r="AA5" s="7">
        <v>10500000</v>
      </c>
      <c r="AB5" s="7">
        <v>0</v>
      </c>
      <c r="AC5" s="7">
        <v>290</v>
      </c>
      <c r="AD5" s="7">
        <v>990</v>
      </c>
      <c r="AE5" s="7">
        <v>0</v>
      </c>
      <c r="AF5" s="7">
        <v>410</v>
      </c>
      <c r="AG5" s="7">
        <v>0</v>
      </c>
      <c r="AH5" s="7">
        <v>0</v>
      </c>
    </row>
    <row r="6" spans="1:34" s="5" customFormat="1" x14ac:dyDescent="0.3">
      <c r="A6" s="5">
        <v>35</v>
      </c>
      <c r="B6" s="5" t="s">
        <v>64</v>
      </c>
      <c r="C6" s="6" t="s">
        <v>146</v>
      </c>
      <c r="D6" s="6" t="s">
        <v>146</v>
      </c>
      <c r="E6" s="7">
        <v>627000</v>
      </c>
      <c r="F6" s="7">
        <v>330000</v>
      </c>
      <c r="G6" s="7">
        <v>2096296040.6093228</v>
      </c>
      <c r="H6" s="7">
        <v>12200</v>
      </c>
      <c r="I6" s="7">
        <v>243000</v>
      </c>
      <c r="J6" s="7">
        <v>33.333333333333336</v>
      </c>
      <c r="K6" s="7">
        <v>0</v>
      </c>
      <c r="L6" s="7">
        <v>0</v>
      </c>
      <c r="M6" s="7">
        <v>200</v>
      </c>
      <c r="N6" s="7">
        <v>5320000</v>
      </c>
      <c r="O6" s="7">
        <v>8470000</v>
      </c>
      <c r="P6" s="7">
        <v>27350000</v>
      </c>
      <c r="Q6" s="7">
        <v>0</v>
      </c>
      <c r="R6" s="7">
        <v>0</v>
      </c>
      <c r="S6" s="7">
        <v>0</v>
      </c>
      <c r="T6" s="7">
        <v>72922568.984648645</v>
      </c>
      <c r="U6" s="7">
        <v>0</v>
      </c>
      <c r="V6" s="7">
        <v>9936.7600353435118</v>
      </c>
      <c r="W6" s="7">
        <v>5338841144.5729456</v>
      </c>
      <c r="X6" s="7">
        <v>60211532.380249135</v>
      </c>
      <c r="Y6" s="7">
        <v>534000</v>
      </c>
      <c r="Z6" s="7">
        <v>0</v>
      </c>
      <c r="AA6" s="7">
        <v>0</v>
      </c>
      <c r="AB6" s="7">
        <v>48800</v>
      </c>
      <c r="AC6" s="7">
        <v>0</v>
      </c>
      <c r="AD6" s="7">
        <v>0</v>
      </c>
      <c r="AE6" s="7">
        <v>0</v>
      </c>
      <c r="AF6" s="7">
        <v>0</v>
      </c>
      <c r="AG6" s="7">
        <v>45400</v>
      </c>
      <c r="AH6" s="7">
        <v>232400</v>
      </c>
    </row>
    <row r="7" spans="1:34" s="5" customFormat="1" x14ac:dyDescent="0.3">
      <c r="A7" s="5">
        <v>46</v>
      </c>
      <c r="B7" s="5" t="s">
        <v>195</v>
      </c>
      <c r="C7" s="6" t="s">
        <v>144</v>
      </c>
      <c r="D7" s="6" t="s">
        <v>151</v>
      </c>
      <c r="E7" s="7">
        <v>739000</v>
      </c>
      <c r="F7" s="7">
        <v>373000</v>
      </c>
      <c r="G7" s="7">
        <v>33185446.251572389</v>
      </c>
      <c r="H7" s="7">
        <v>10</v>
      </c>
      <c r="I7" s="7">
        <v>10</v>
      </c>
      <c r="J7" s="7">
        <v>0</v>
      </c>
      <c r="K7" s="7">
        <v>0</v>
      </c>
      <c r="L7" s="7">
        <v>0</v>
      </c>
      <c r="M7" s="7">
        <v>0</v>
      </c>
      <c r="N7" s="7">
        <v>500000</v>
      </c>
      <c r="O7" s="7">
        <v>514000</v>
      </c>
      <c r="P7" s="7">
        <v>12436808.8666503</v>
      </c>
      <c r="Q7" s="7">
        <v>3067.3261700889102</v>
      </c>
      <c r="R7" s="7">
        <v>0</v>
      </c>
      <c r="S7" s="7">
        <v>0</v>
      </c>
      <c r="T7" s="7">
        <v>160351106.0825884</v>
      </c>
      <c r="U7" s="7">
        <v>846024298.4018122</v>
      </c>
      <c r="V7" s="7">
        <v>0</v>
      </c>
      <c r="W7" s="7">
        <v>5075115075.9202547</v>
      </c>
      <c r="X7" s="7">
        <v>0</v>
      </c>
      <c r="Y7" s="7">
        <v>0</v>
      </c>
      <c r="Z7" s="7">
        <v>790000</v>
      </c>
      <c r="AA7" s="7">
        <v>17100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</row>
    <row r="8" spans="1:34" s="5" customFormat="1" x14ac:dyDescent="0.3">
      <c r="A8" s="5">
        <v>54</v>
      </c>
      <c r="B8" s="5" t="s">
        <v>200</v>
      </c>
      <c r="C8" s="6" t="s">
        <v>145</v>
      </c>
      <c r="D8" s="6" t="s">
        <v>151</v>
      </c>
      <c r="E8" s="7">
        <v>300000</v>
      </c>
      <c r="F8" s="7">
        <v>600000</v>
      </c>
      <c r="G8" s="7">
        <v>261114790.93028799</v>
      </c>
      <c r="H8" s="7">
        <v>13900</v>
      </c>
      <c r="I8" s="7">
        <v>255000</v>
      </c>
      <c r="J8" s="7">
        <v>0</v>
      </c>
      <c r="K8" s="7">
        <v>0</v>
      </c>
      <c r="L8" s="7">
        <v>240</v>
      </c>
      <c r="M8" s="7">
        <v>0</v>
      </c>
      <c r="N8" s="7">
        <v>75000</v>
      </c>
      <c r="O8" s="7">
        <v>570000</v>
      </c>
      <c r="P8" s="7">
        <v>0</v>
      </c>
      <c r="Q8" s="7">
        <v>0</v>
      </c>
      <c r="R8" s="7">
        <v>0</v>
      </c>
      <c r="S8" s="7">
        <v>0</v>
      </c>
      <c r="T8" s="7">
        <v>30100725.272836868</v>
      </c>
      <c r="U8" s="7">
        <v>0</v>
      </c>
      <c r="V8" s="7">
        <v>197268982.33824801</v>
      </c>
      <c r="W8" s="7">
        <v>27096872302.710419</v>
      </c>
      <c r="X8" s="7">
        <v>370.80668818132176</v>
      </c>
      <c r="Y8" s="7">
        <v>19600</v>
      </c>
      <c r="Z8" s="7">
        <v>0</v>
      </c>
      <c r="AA8" s="7">
        <v>574000</v>
      </c>
      <c r="AB8" s="7">
        <v>614000</v>
      </c>
      <c r="AC8" s="7">
        <v>0</v>
      </c>
      <c r="AD8" s="7">
        <v>0</v>
      </c>
      <c r="AE8" s="7">
        <v>0</v>
      </c>
      <c r="AF8" s="7">
        <v>170</v>
      </c>
      <c r="AG8" s="7">
        <v>0</v>
      </c>
      <c r="AH8" s="7">
        <v>45200</v>
      </c>
    </row>
    <row r="9" spans="1:34" s="5" customFormat="1" x14ac:dyDescent="0.3">
      <c r="A9" s="5">
        <v>64</v>
      </c>
      <c r="B9" s="5" t="s">
        <v>205</v>
      </c>
      <c r="C9" s="6" t="s">
        <v>144</v>
      </c>
      <c r="D9" s="6" t="s">
        <v>151</v>
      </c>
      <c r="E9" s="7">
        <v>185000</v>
      </c>
      <c r="F9" s="7">
        <v>27000</v>
      </c>
      <c r="G9" s="7">
        <v>229796254.62274706</v>
      </c>
      <c r="H9" s="7">
        <v>1765</v>
      </c>
      <c r="I9" s="7">
        <v>52500</v>
      </c>
      <c r="J9" s="7">
        <v>0</v>
      </c>
      <c r="K9" s="7">
        <v>0</v>
      </c>
      <c r="L9" s="7">
        <v>0</v>
      </c>
      <c r="M9" s="7">
        <v>0</v>
      </c>
      <c r="N9" s="7">
        <v>6500000</v>
      </c>
      <c r="O9" s="7">
        <v>9500000</v>
      </c>
      <c r="P9" s="7">
        <v>0</v>
      </c>
      <c r="Q9" s="7">
        <v>12850000</v>
      </c>
      <c r="R9" s="7">
        <v>0</v>
      </c>
      <c r="S9" s="7">
        <v>0</v>
      </c>
      <c r="T9" s="7">
        <v>43779113.183444329</v>
      </c>
      <c r="U9" s="7">
        <v>265686875.07816416</v>
      </c>
      <c r="V9" s="7">
        <v>0</v>
      </c>
      <c r="W9" s="7">
        <v>2977297688.1022401</v>
      </c>
      <c r="X9" s="7">
        <v>0</v>
      </c>
      <c r="Y9" s="7">
        <v>0</v>
      </c>
      <c r="Z9" s="7">
        <v>2500000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</row>
    <row r="10" spans="1:34" s="5" customFormat="1" x14ac:dyDescent="0.3">
      <c r="A10" s="5">
        <v>67</v>
      </c>
      <c r="B10" s="5" t="s">
        <v>210</v>
      </c>
      <c r="C10" s="6" t="s">
        <v>147</v>
      </c>
      <c r="D10" s="6" t="s">
        <v>151</v>
      </c>
      <c r="E10" s="7">
        <v>362500000</v>
      </c>
      <c r="F10" s="7">
        <v>51000000</v>
      </c>
      <c r="G10" s="7">
        <v>720835531.45536435</v>
      </c>
      <c r="H10" s="7">
        <v>12400</v>
      </c>
      <c r="I10" s="7">
        <v>770000000</v>
      </c>
      <c r="J10" s="7">
        <v>0</v>
      </c>
      <c r="K10" s="7">
        <v>0</v>
      </c>
      <c r="L10" s="7">
        <v>0</v>
      </c>
      <c r="M10" s="7">
        <v>80.952380952380949</v>
      </c>
      <c r="N10" s="7">
        <v>1050000</v>
      </c>
      <c r="O10" s="7">
        <v>17500000</v>
      </c>
      <c r="P10" s="7">
        <v>0</v>
      </c>
      <c r="Q10" s="7">
        <v>0</v>
      </c>
      <c r="R10" s="7">
        <v>0</v>
      </c>
      <c r="S10" s="7">
        <v>33052320.852907799</v>
      </c>
      <c r="T10" s="7">
        <v>96266894.049740851</v>
      </c>
      <c r="U10" s="7">
        <v>0</v>
      </c>
      <c r="V10" s="7">
        <v>0</v>
      </c>
      <c r="W10" s="7">
        <v>6665663641.2159748</v>
      </c>
      <c r="X10" s="7">
        <v>11249258.135160863</v>
      </c>
      <c r="Y10" s="7">
        <v>0</v>
      </c>
      <c r="Z10" s="7">
        <v>0</v>
      </c>
      <c r="AA10" s="7">
        <v>0</v>
      </c>
      <c r="AB10" s="7">
        <v>737000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</row>
    <row r="11" spans="1:34" s="5" customFormat="1" x14ac:dyDescent="0.3">
      <c r="A11" s="5">
        <v>70</v>
      </c>
      <c r="B11" s="5" t="s">
        <v>99</v>
      </c>
      <c r="C11" s="6" t="s">
        <v>146</v>
      </c>
      <c r="D11" s="6" t="s">
        <v>146</v>
      </c>
      <c r="E11" s="7">
        <v>46500</v>
      </c>
      <c r="F11" s="7">
        <v>11000</v>
      </c>
      <c r="G11" s="7">
        <v>15002993.330532409</v>
      </c>
      <c r="H11" s="7">
        <v>505</v>
      </c>
      <c r="I11" s="7">
        <v>950</v>
      </c>
      <c r="J11" s="7">
        <v>26250</v>
      </c>
      <c r="K11" s="7">
        <v>0</v>
      </c>
      <c r="L11" s="7">
        <v>0</v>
      </c>
      <c r="M11" s="7">
        <v>0</v>
      </c>
      <c r="N11" s="7">
        <v>14500</v>
      </c>
      <c r="O11" s="7">
        <v>455000</v>
      </c>
      <c r="P11" s="7">
        <v>746362.75650062924</v>
      </c>
      <c r="Q11" s="7">
        <v>13351.066527959772</v>
      </c>
      <c r="R11" s="7">
        <v>232435.23302498518</v>
      </c>
      <c r="S11" s="7">
        <v>1638577.3977619479</v>
      </c>
      <c r="T11" s="7">
        <v>11061192.741606535</v>
      </c>
      <c r="U11" s="7">
        <v>0</v>
      </c>
      <c r="V11" s="7">
        <v>0</v>
      </c>
      <c r="W11" s="7">
        <v>5051916.6524003539</v>
      </c>
      <c r="X11" s="7">
        <v>941189.15196808334</v>
      </c>
      <c r="Y11" s="7">
        <v>84600</v>
      </c>
      <c r="Z11" s="7">
        <v>0</v>
      </c>
      <c r="AA11" s="7">
        <v>0</v>
      </c>
      <c r="AB11" s="7">
        <v>11500</v>
      </c>
      <c r="AC11" s="7">
        <v>59.000000000000007</v>
      </c>
      <c r="AD11" s="7">
        <v>190</v>
      </c>
      <c r="AE11" s="7">
        <v>0</v>
      </c>
      <c r="AF11" s="7">
        <v>0</v>
      </c>
      <c r="AG11" s="7">
        <v>0</v>
      </c>
      <c r="AH11" s="7">
        <v>14800</v>
      </c>
    </row>
    <row r="12" spans="1:34" s="5" customFormat="1" x14ac:dyDescent="0.3">
      <c r="A12" s="5">
        <v>72</v>
      </c>
      <c r="B12" s="5" t="s">
        <v>101</v>
      </c>
      <c r="C12" s="6" t="s">
        <v>146</v>
      </c>
      <c r="D12" s="6" t="s">
        <v>146</v>
      </c>
      <c r="E12" s="7">
        <v>615000</v>
      </c>
      <c r="F12" s="7">
        <v>95700</v>
      </c>
      <c r="G12" s="7">
        <v>1720191879.6622806</v>
      </c>
      <c r="H12" s="7">
        <v>33200</v>
      </c>
      <c r="I12" s="7">
        <v>63000</v>
      </c>
      <c r="J12" s="7">
        <v>4540</v>
      </c>
      <c r="K12" s="7">
        <v>0</v>
      </c>
      <c r="L12" s="7">
        <v>30</v>
      </c>
      <c r="M12" s="7">
        <v>0</v>
      </c>
      <c r="N12" s="7">
        <v>1100000</v>
      </c>
      <c r="O12" s="7">
        <v>1150000</v>
      </c>
      <c r="P12" s="7">
        <v>17750000</v>
      </c>
      <c r="Q12" s="7">
        <v>0</v>
      </c>
      <c r="R12" s="7">
        <v>0</v>
      </c>
      <c r="S12" s="7">
        <v>0</v>
      </c>
      <c r="T12" s="7">
        <v>93207736.176381797</v>
      </c>
      <c r="U12" s="7">
        <v>0</v>
      </c>
      <c r="V12" s="7">
        <v>31839.597987411838</v>
      </c>
      <c r="W12" s="7">
        <v>3194426109.3449373</v>
      </c>
      <c r="X12" s="7">
        <v>20736362.453615837</v>
      </c>
      <c r="Y12" s="7">
        <v>105000</v>
      </c>
      <c r="Z12" s="7">
        <v>0</v>
      </c>
      <c r="AA12" s="7">
        <v>0</v>
      </c>
      <c r="AB12" s="7">
        <v>26000</v>
      </c>
      <c r="AC12" s="7">
        <v>280</v>
      </c>
      <c r="AD12" s="7">
        <v>980</v>
      </c>
      <c r="AE12" s="7">
        <v>0</v>
      </c>
      <c r="AF12" s="7">
        <v>260</v>
      </c>
      <c r="AG12" s="7">
        <v>62800</v>
      </c>
      <c r="AH12" s="7">
        <v>13600</v>
      </c>
    </row>
    <row r="13" spans="1:34" s="5" customFormat="1" x14ac:dyDescent="0.3">
      <c r="A13" s="5">
        <v>101</v>
      </c>
      <c r="B13" s="5" t="s">
        <v>130</v>
      </c>
      <c r="C13" s="6" t="s">
        <v>146</v>
      </c>
      <c r="D13" s="6" t="s">
        <v>146</v>
      </c>
      <c r="E13" s="7">
        <v>1236363</v>
      </c>
      <c r="F13" s="7">
        <v>95909</v>
      </c>
      <c r="G13" s="7">
        <v>613353674.35255432</v>
      </c>
      <c r="H13" s="7">
        <v>11318</v>
      </c>
      <c r="I13" s="7">
        <v>40227</v>
      </c>
      <c r="J13" s="7">
        <v>0</v>
      </c>
      <c r="K13" s="7">
        <v>0</v>
      </c>
      <c r="L13" s="7">
        <v>0</v>
      </c>
      <c r="M13" s="7">
        <v>145</v>
      </c>
      <c r="N13" s="7">
        <v>3000000</v>
      </c>
      <c r="O13" s="7">
        <v>7045454.5454545449</v>
      </c>
      <c r="P13" s="7">
        <v>20550000</v>
      </c>
      <c r="Q13" s="7">
        <v>0</v>
      </c>
      <c r="R13" s="7">
        <v>0</v>
      </c>
      <c r="S13" s="7">
        <v>0</v>
      </c>
      <c r="T13" s="7">
        <v>19401573.795725212</v>
      </c>
      <c r="U13" s="7">
        <v>0</v>
      </c>
      <c r="V13" s="7">
        <v>0</v>
      </c>
      <c r="W13" s="7">
        <v>3368766538.6785059</v>
      </c>
      <c r="X13" s="7">
        <v>70162126.326048225</v>
      </c>
      <c r="Y13" s="7">
        <v>456000</v>
      </c>
      <c r="Z13" s="7">
        <v>0</v>
      </c>
      <c r="AA13" s="7">
        <v>0</v>
      </c>
      <c r="AB13" s="7">
        <v>0</v>
      </c>
      <c r="AC13" s="7">
        <v>390</v>
      </c>
      <c r="AD13" s="7">
        <v>580</v>
      </c>
      <c r="AE13" s="7">
        <v>260</v>
      </c>
      <c r="AF13" s="7">
        <v>160</v>
      </c>
      <c r="AG13" s="7">
        <v>0</v>
      </c>
      <c r="AH13" s="7">
        <v>158800</v>
      </c>
    </row>
    <row r="14" spans="1:34" s="5" customFormat="1" x14ac:dyDescent="0.3">
      <c r="A14" s="5">
        <v>102</v>
      </c>
      <c r="B14" s="5" t="s">
        <v>131</v>
      </c>
      <c r="C14" s="6" t="s">
        <v>145</v>
      </c>
      <c r="D14" s="6" t="s">
        <v>151</v>
      </c>
      <c r="E14" s="7">
        <v>195454</v>
      </c>
      <c r="F14" s="7">
        <v>28181</v>
      </c>
      <c r="G14" s="7">
        <v>9254531.2397333235</v>
      </c>
      <c r="H14" s="7">
        <v>1813</v>
      </c>
      <c r="I14" s="7">
        <v>105454</v>
      </c>
      <c r="J14" s="7">
        <v>0</v>
      </c>
      <c r="K14" s="7">
        <v>0</v>
      </c>
      <c r="L14" s="7">
        <v>5</v>
      </c>
      <c r="M14" s="7">
        <v>0</v>
      </c>
      <c r="N14" s="7">
        <v>0</v>
      </c>
      <c r="O14" s="7">
        <v>60000000</v>
      </c>
      <c r="P14" s="7">
        <v>0</v>
      </c>
      <c r="Q14" s="7">
        <v>0</v>
      </c>
      <c r="R14" s="7">
        <v>0</v>
      </c>
      <c r="S14" s="7">
        <v>0</v>
      </c>
      <c r="T14" s="7">
        <v>14792002.106077507</v>
      </c>
      <c r="U14" s="7">
        <v>0</v>
      </c>
      <c r="V14" s="7">
        <v>479249755.27171636</v>
      </c>
      <c r="W14" s="7">
        <v>6929898959.8309479</v>
      </c>
      <c r="X14" s="7">
        <v>0</v>
      </c>
      <c r="Y14" s="7">
        <v>0</v>
      </c>
      <c r="Z14" s="7">
        <v>0</v>
      </c>
      <c r="AA14" s="7">
        <v>240000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24000</v>
      </c>
    </row>
    <row r="15" spans="1:34" s="5" customFormat="1" x14ac:dyDescent="0.3">
      <c r="A15" s="5">
        <v>106</v>
      </c>
      <c r="B15" s="5" t="s">
        <v>215</v>
      </c>
      <c r="C15" s="6" t="s">
        <v>146</v>
      </c>
      <c r="D15" s="6" t="s">
        <v>146</v>
      </c>
      <c r="E15" s="7">
        <v>995454</v>
      </c>
      <c r="F15" s="7">
        <v>95000</v>
      </c>
      <c r="G15" s="7">
        <v>1722606957.8844178</v>
      </c>
      <c r="H15" s="7">
        <v>10454</v>
      </c>
      <c r="I15" s="7">
        <v>237603</v>
      </c>
      <c r="J15" s="7">
        <v>5000</v>
      </c>
      <c r="K15" s="7">
        <v>0</v>
      </c>
      <c r="L15" s="7">
        <v>0</v>
      </c>
      <c r="M15" s="7">
        <v>505</v>
      </c>
      <c r="N15" s="7">
        <v>6818181.8181818174</v>
      </c>
      <c r="O15" s="7">
        <v>10909090.909090908</v>
      </c>
      <c r="P15" s="7">
        <v>122139.731228668</v>
      </c>
      <c r="Q15" s="7">
        <v>597915.70380333101</v>
      </c>
      <c r="R15" s="7">
        <v>0</v>
      </c>
      <c r="S15" s="7">
        <v>0</v>
      </c>
      <c r="T15" s="7">
        <v>12505381.924822116</v>
      </c>
      <c r="U15" s="7">
        <v>0</v>
      </c>
      <c r="V15" s="7">
        <v>0</v>
      </c>
      <c r="W15" s="7">
        <v>1334752598.9475982</v>
      </c>
      <c r="X15" s="7">
        <v>45445023.683248714</v>
      </c>
      <c r="Y15" s="7">
        <v>224000</v>
      </c>
      <c r="Z15" s="7">
        <v>0</v>
      </c>
      <c r="AA15" s="7">
        <v>0</v>
      </c>
      <c r="AB15" s="7">
        <v>0</v>
      </c>
      <c r="AC15" s="7">
        <v>560</v>
      </c>
      <c r="AD15" s="7">
        <v>210</v>
      </c>
      <c r="AE15" s="7">
        <v>0</v>
      </c>
      <c r="AF15" s="7">
        <v>180</v>
      </c>
      <c r="AG15" s="7">
        <v>212000</v>
      </c>
      <c r="AH15" s="7">
        <v>181600</v>
      </c>
    </row>
    <row r="16" spans="1:34" s="5" customFormat="1" x14ac:dyDescent="0.3">
      <c r="A16" s="5">
        <v>110</v>
      </c>
      <c r="B16" s="5" t="s">
        <v>139</v>
      </c>
      <c r="C16" s="6" t="s">
        <v>146</v>
      </c>
      <c r="D16" s="6" t="s">
        <v>146</v>
      </c>
      <c r="E16" s="7">
        <v>1000000</v>
      </c>
      <c r="F16" s="7">
        <v>92000</v>
      </c>
      <c r="G16" s="7">
        <v>264600488.91340542</v>
      </c>
      <c r="H16" s="7">
        <v>2700</v>
      </c>
      <c r="I16" s="7">
        <v>200000</v>
      </c>
      <c r="J16" s="7">
        <v>9400</v>
      </c>
      <c r="K16" s="7">
        <v>0</v>
      </c>
      <c r="L16" s="7">
        <v>0</v>
      </c>
      <c r="M16" s="7">
        <v>35</v>
      </c>
      <c r="N16" s="7">
        <v>5800000</v>
      </c>
      <c r="O16" s="7">
        <v>8200000</v>
      </c>
      <c r="P16" s="7">
        <v>5631135.2698009498</v>
      </c>
      <c r="Q16" s="7">
        <v>0</v>
      </c>
      <c r="R16" s="7">
        <v>2006790.1467098286</v>
      </c>
      <c r="S16" s="7">
        <v>0</v>
      </c>
      <c r="T16" s="7">
        <v>41040907.936560571</v>
      </c>
      <c r="U16" s="7">
        <v>0</v>
      </c>
      <c r="V16" s="7">
        <v>0</v>
      </c>
      <c r="W16" s="7">
        <v>1412435435.6240182</v>
      </c>
      <c r="X16" s="7">
        <v>35350147.255879134</v>
      </c>
      <c r="Y16" s="7">
        <v>276000</v>
      </c>
      <c r="Z16" s="7">
        <v>0</v>
      </c>
      <c r="AA16" s="7">
        <v>0</v>
      </c>
      <c r="AB16" s="7">
        <v>0</v>
      </c>
      <c r="AC16" s="7">
        <v>540</v>
      </c>
      <c r="AD16" s="7">
        <v>320</v>
      </c>
      <c r="AE16" s="7">
        <v>0</v>
      </c>
      <c r="AF16" s="7">
        <v>240</v>
      </c>
      <c r="AG16" s="7">
        <v>700000</v>
      </c>
      <c r="AH16" s="7">
        <v>31600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CB47-67F9-45F0-8B8B-8DFF1062D7AB}">
  <dimension ref="A1:AH76"/>
  <sheetViews>
    <sheetView workbookViewId="0">
      <selection sqref="A1:XFD1048576"/>
    </sheetView>
  </sheetViews>
  <sheetFormatPr baseColWidth="10" defaultRowHeight="14.4" x14ac:dyDescent="0.3"/>
  <cols>
    <col min="1" max="1" width="11.5546875" style="7"/>
    <col min="2" max="2" width="14.33203125" style="7" bestFit="1" customWidth="1"/>
    <col min="3" max="4" width="11.5546875" style="7"/>
    <col min="5" max="6" width="13.44140625" style="7" bestFit="1" customWidth="1"/>
    <col min="7" max="7" width="15.44140625" style="7" bestFit="1" customWidth="1"/>
    <col min="8" max="8" width="11.6640625" style="7" bestFit="1" customWidth="1"/>
    <col min="9" max="9" width="13.44140625" style="7" bestFit="1" customWidth="1"/>
    <col min="10" max="13" width="11.6640625" style="7" bestFit="1" customWidth="1"/>
    <col min="14" max="14" width="13.44140625" style="7" bestFit="1" customWidth="1"/>
    <col min="15" max="15" width="14.44140625" style="7" bestFit="1" customWidth="1"/>
    <col min="16" max="17" width="12.44140625" style="7" bestFit="1" customWidth="1"/>
    <col min="18" max="18" width="11.6640625" style="7" bestFit="1" customWidth="1"/>
    <col min="19" max="19" width="12.44140625" style="7" bestFit="1" customWidth="1"/>
    <col min="20" max="20" width="14.44140625" style="7" bestFit="1" customWidth="1"/>
    <col min="21" max="22" width="15.44140625" style="7" bestFit="1" customWidth="1"/>
    <col min="23" max="23" width="16.5546875" style="7" bestFit="1" customWidth="1"/>
    <col min="24" max="25" width="12.44140625" style="7" bestFit="1" customWidth="1"/>
    <col min="26" max="28" width="13.44140625" style="7" bestFit="1" customWidth="1"/>
    <col min="29" max="34" width="11.6640625" style="7" bestFit="1" customWidth="1"/>
    <col min="35" max="16384" width="11.5546875" style="7"/>
  </cols>
  <sheetData>
    <row r="1" spans="1:34" s="7" customFormat="1" x14ac:dyDescent="0.3">
      <c r="A1" s="7" t="s">
        <v>152</v>
      </c>
      <c r="B1" s="7" t="s">
        <v>149</v>
      </c>
      <c r="C1" s="7" t="s">
        <v>143</v>
      </c>
      <c r="D1" s="7" t="s">
        <v>150</v>
      </c>
      <c r="E1" s="7" t="s">
        <v>0</v>
      </c>
      <c r="F1" s="7" t="s">
        <v>1</v>
      </c>
      <c r="G1" s="7" t="s">
        <v>19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</row>
    <row r="2" spans="1:34" s="7" customFormat="1" x14ac:dyDescent="0.3">
      <c r="A2" s="7">
        <v>4</v>
      </c>
      <c r="B2" s="7" t="s">
        <v>33</v>
      </c>
      <c r="C2" s="7" t="s">
        <v>146</v>
      </c>
      <c r="D2" s="7" t="s">
        <v>146</v>
      </c>
      <c r="E2" s="7">
        <v>1430000</v>
      </c>
      <c r="F2" s="7">
        <v>78600</v>
      </c>
      <c r="G2" s="7">
        <v>714196906.6949867</v>
      </c>
      <c r="H2" s="7">
        <v>26800</v>
      </c>
      <c r="I2" s="7">
        <v>200000</v>
      </c>
      <c r="J2" s="7">
        <v>1154.5454545454545</v>
      </c>
      <c r="K2" s="7">
        <v>0</v>
      </c>
      <c r="L2" s="7">
        <v>1300</v>
      </c>
      <c r="M2" s="7">
        <v>30</v>
      </c>
      <c r="N2" s="7">
        <v>10000</v>
      </c>
      <c r="O2" s="7">
        <v>175000</v>
      </c>
      <c r="P2" s="7">
        <v>30100000</v>
      </c>
      <c r="Q2" s="7">
        <v>0</v>
      </c>
      <c r="R2" s="7">
        <v>0</v>
      </c>
      <c r="S2" s="7">
        <v>0</v>
      </c>
      <c r="T2" s="7">
        <v>57052142.724053502</v>
      </c>
      <c r="U2" s="7">
        <v>0</v>
      </c>
      <c r="V2" s="7">
        <v>0</v>
      </c>
      <c r="W2" s="7">
        <v>7299421454.370163</v>
      </c>
      <c r="X2" s="7">
        <v>5974482.5459294254</v>
      </c>
      <c r="Y2" s="7">
        <v>183000</v>
      </c>
      <c r="Z2" s="7">
        <v>0</v>
      </c>
      <c r="AA2" s="7">
        <v>0</v>
      </c>
      <c r="AB2" s="7">
        <v>0</v>
      </c>
      <c r="AC2" s="7">
        <v>390</v>
      </c>
      <c r="AD2" s="7">
        <v>1240</v>
      </c>
      <c r="AE2" s="7">
        <v>0</v>
      </c>
      <c r="AF2" s="7">
        <v>430</v>
      </c>
      <c r="AG2" s="7">
        <v>130000</v>
      </c>
      <c r="AH2" s="7">
        <v>91200</v>
      </c>
    </row>
    <row r="3" spans="1:34" s="7" customFormat="1" x14ac:dyDescent="0.3">
      <c r="B3" s="7" t="s">
        <v>155</v>
      </c>
      <c r="C3" s="7" t="s">
        <v>146</v>
      </c>
      <c r="D3" s="7" t="s">
        <v>146</v>
      </c>
      <c r="E3" s="7">
        <f>E2/10</f>
        <v>143000</v>
      </c>
      <c r="F3" s="7">
        <f t="shared" ref="F3:U6" si="0">F2/10</f>
        <v>7860</v>
      </c>
      <c r="G3" s="7">
        <f t="shared" si="0"/>
        <v>71419690.669498667</v>
      </c>
      <c r="H3" s="7">
        <f t="shared" si="0"/>
        <v>2680</v>
      </c>
      <c r="I3" s="7">
        <f t="shared" si="0"/>
        <v>20000</v>
      </c>
      <c r="J3" s="7">
        <f t="shared" si="0"/>
        <v>115.45454545454545</v>
      </c>
      <c r="K3" s="7">
        <f t="shared" si="0"/>
        <v>0</v>
      </c>
      <c r="L3" s="7">
        <f t="shared" si="0"/>
        <v>130</v>
      </c>
      <c r="M3" s="7">
        <v>0</v>
      </c>
      <c r="N3" s="7">
        <f t="shared" si="0"/>
        <v>1000</v>
      </c>
      <c r="O3" s="7">
        <f t="shared" si="0"/>
        <v>17500</v>
      </c>
      <c r="P3" s="7">
        <f t="shared" si="0"/>
        <v>3010000</v>
      </c>
      <c r="Q3" s="7">
        <f t="shared" si="0"/>
        <v>0</v>
      </c>
      <c r="R3" s="7">
        <f t="shared" si="0"/>
        <v>0</v>
      </c>
      <c r="S3" s="7">
        <f t="shared" si="0"/>
        <v>0</v>
      </c>
      <c r="T3" s="7">
        <f t="shared" si="0"/>
        <v>5705214.2724053506</v>
      </c>
      <c r="U3" s="7">
        <f t="shared" si="0"/>
        <v>0</v>
      </c>
      <c r="V3" s="7">
        <f t="shared" ref="V3:AH6" si="1">V2/10</f>
        <v>0</v>
      </c>
      <c r="W3" s="7">
        <f t="shared" si="1"/>
        <v>729942145.43701625</v>
      </c>
      <c r="X3" s="7">
        <f t="shared" si="1"/>
        <v>597448.25459294254</v>
      </c>
      <c r="Y3" s="7">
        <f t="shared" si="1"/>
        <v>18300</v>
      </c>
      <c r="Z3" s="7">
        <f t="shared" si="1"/>
        <v>0</v>
      </c>
      <c r="AA3" s="7">
        <f t="shared" si="1"/>
        <v>0</v>
      </c>
      <c r="AB3" s="7">
        <f t="shared" si="1"/>
        <v>0</v>
      </c>
      <c r="AC3" s="7">
        <v>0</v>
      </c>
      <c r="AD3" s="7">
        <f t="shared" si="1"/>
        <v>124</v>
      </c>
      <c r="AE3" s="7">
        <f t="shared" si="1"/>
        <v>0</v>
      </c>
      <c r="AF3" s="7">
        <v>0</v>
      </c>
      <c r="AG3" s="7">
        <v>0</v>
      </c>
      <c r="AH3" s="7">
        <f t="shared" si="1"/>
        <v>9120</v>
      </c>
    </row>
    <row r="4" spans="1:34" s="7" customFormat="1" x14ac:dyDescent="0.3">
      <c r="B4" s="7" t="s">
        <v>156</v>
      </c>
      <c r="C4" s="7" t="s">
        <v>146</v>
      </c>
      <c r="D4" s="7" t="s">
        <v>146</v>
      </c>
      <c r="E4" s="7">
        <f>E3/10</f>
        <v>14300</v>
      </c>
      <c r="F4" s="7">
        <f t="shared" si="0"/>
        <v>786</v>
      </c>
      <c r="G4" s="7">
        <f t="shared" si="0"/>
        <v>7141969.0669498667</v>
      </c>
      <c r="H4" s="7">
        <f t="shared" si="0"/>
        <v>268</v>
      </c>
      <c r="I4" s="7">
        <f t="shared" si="0"/>
        <v>2000</v>
      </c>
      <c r="J4" s="7">
        <f t="shared" si="0"/>
        <v>11.545454545454545</v>
      </c>
      <c r="K4" s="7">
        <f t="shared" si="0"/>
        <v>0</v>
      </c>
      <c r="L4" s="7">
        <f t="shared" si="0"/>
        <v>13</v>
      </c>
      <c r="M4" s="7">
        <f t="shared" si="0"/>
        <v>0</v>
      </c>
      <c r="N4" s="7">
        <f t="shared" si="0"/>
        <v>100</v>
      </c>
      <c r="O4" s="7">
        <f t="shared" si="0"/>
        <v>1750</v>
      </c>
      <c r="P4" s="7">
        <f t="shared" si="0"/>
        <v>301000</v>
      </c>
      <c r="Q4" s="7">
        <f t="shared" si="0"/>
        <v>0</v>
      </c>
      <c r="R4" s="7">
        <f t="shared" si="0"/>
        <v>0</v>
      </c>
      <c r="S4" s="7">
        <f t="shared" si="0"/>
        <v>0</v>
      </c>
      <c r="T4" s="7">
        <f t="shared" si="0"/>
        <v>570521.42724053503</v>
      </c>
      <c r="U4" s="7">
        <f t="shared" si="0"/>
        <v>0</v>
      </c>
      <c r="V4" s="7">
        <f t="shared" si="1"/>
        <v>0</v>
      </c>
      <c r="W4" s="7">
        <f t="shared" si="1"/>
        <v>72994214.543701619</v>
      </c>
      <c r="X4" s="7">
        <f t="shared" si="1"/>
        <v>59744.825459294254</v>
      </c>
      <c r="Y4" s="7">
        <v>0</v>
      </c>
      <c r="Z4" s="7">
        <f t="shared" si="1"/>
        <v>0</v>
      </c>
      <c r="AA4" s="7">
        <f t="shared" si="1"/>
        <v>0</v>
      </c>
      <c r="AB4" s="7">
        <f t="shared" si="1"/>
        <v>0</v>
      </c>
      <c r="AC4" s="7">
        <f t="shared" si="1"/>
        <v>0</v>
      </c>
      <c r="AD4" s="7">
        <v>0</v>
      </c>
      <c r="AE4" s="7">
        <f t="shared" si="1"/>
        <v>0</v>
      </c>
      <c r="AF4" s="7">
        <f t="shared" si="1"/>
        <v>0</v>
      </c>
      <c r="AG4" s="7">
        <f t="shared" si="1"/>
        <v>0</v>
      </c>
      <c r="AH4" s="7">
        <f t="shared" si="1"/>
        <v>912</v>
      </c>
    </row>
    <row r="5" spans="1:34" s="7" customFormat="1" x14ac:dyDescent="0.3">
      <c r="B5" s="7" t="s">
        <v>157</v>
      </c>
      <c r="C5" s="7" t="s">
        <v>146</v>
      </c>
      <c r="D5" s="7" t="s">
        <v>146</v>
      </c>
      <c r="E5" s="7">
        <f>E4/10</f>
        <v>1430</v>
      </c>
      <c r="F5" s="7">
        <f t="shared" si="0"/>
        <v>78.599999999999994</v>
      </c>
      <c r="G5" s="7">
        <f t="shared" si="0"/>
        <v>714196.90669498662</v>
      </c>
      <c r="H5" s="7">
        <f t="shared" si="0"/>
        <v>26.8</v>
      </c>
      <c r="I5" s="7">
        <f t="shared" si="0"/>
        <v>200</v>
      </c>
      <c r="J5" s="7">
        <v>0</v>
      </c>
      <c r="K5" s="7">
        <f t="shared" si="0"/>
        <v>0</v>
      </c>
      <c r="L5" s="7">
        <v>0</v>
      </c>
      <c r="M5" s="7">
        <f t="shared" si="0"/>
        <v>0</v>
      </c>
      <c r="N5" s="7">
        <v>0</v>
      </c>
      <c r="O5" s="7">
        <f t="shared" si="0"/>
        <v>175</v>
      </c>
      <c r="P5" s="7">
        <v>0</v>
      </c>
      <c r="Q5" s="7">
        <f t="shared" si="0"/>
        <v>0</v>
      </c>
      <c r="R5" s="7">
        <f t="shared" si="0"/>
        <v>0</v>
      </c>
      <c r="S5" s="7">
        <f t="shared" si="0"/>
        <v>0</v>
      </c>
      <c r="T5" s="7">
        <v>0</v>
      </c>
      <c r="U5" s="7">
        <f t="shared" si="0"/>
        <v>0</v>
      </c>
      <c r="V5" s="7">
        <f t="shared" si="1"/>
        <v>0</v>
      </c>
      <c r="W5" s="7">
        <f t="shared" si="1"/>
        <v>7299421.4543701615</v>
      </c>
      <c r="X5" s="7">
        <f t="shared" si="1"/>
        <v>5974.4825459294252</v>
      </c>
      <c r="Y5" s="7">
        <f t="shared" si="1"/>
        <v>0</v>
      </c>
      <c r="Z5" s="7">
        <f t="shared" si="1"/>
        <v>0</v>
      </c>
      <c r="AA5" s="7">
        <f t="shared" si="1"/>
        <v>0</v>
      </c>
      <c r="AB5" s="7">
        <f t="shared" si="1"/>
        <v>0</v>
      </c>
      <c r="AC5" s="7">
        <f t="shared" si="1"/>
        <v>0</v>
      </c>
      <c r="AD5" s="7">
        <f t="shared" si="1"/>
        <v>0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v>0</v>
      </c>
    </row>
    <row r="6" spans="1:34" s="7" customFormat="1" x14ac:dyDescent="0.3">
      <c r="B6" s="7" t="s">
        <v>158</v>
      </c>
      <c r="C6" s="7" t="s">
        <v>146</v>
      </c>
      <c r="D6" s="7" t="s">
        <v>146</v>
      </c>
      <c r="E6" s="7">
        <f>E5/10</f>
        <v>143</v>
      </c>
      <c r="F6" s="7">
        <f t="shared" si="0"/>
        <v>7.8599999999999994</v>
      </c>
      <c r="G6" s="7">
        <f t="shared" si="0"/>
        <v>71419.690669498668</v>
      </c>
      <c r="H6" s="7">
        <f t="shared" si="0"/>
        <v>2.68</v>
      </c>
      <c r="I6" s="7">
        <f t="shared" si="0"/>
        <v>20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7"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1"/>
        <v>0</v>
      </c>
      <c r="W6" s="7">
        <f t="shared" si="1"/>
        <v>729942.14543701615</v>
      </c>
      <c r="X6" s="7">
        <f t="shared" si="1"/>
        <v>597.44825459294248</v>
      </c>
      <c r="Y6" s="7">
        <f t="shared" si="1"/>
        <v>0</v>
      </c>
      <c r="Z6" s="7">
        <f t="shared" si="1"/>
        <v>0</v>
      </c>
      <c r="AA6" s="7">
        <f t="shared" si="1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 t="shared" si="1"/>
        <v>0</v>
      </c>
      <c r="AH6" s="7">
        <f t="shared" si="1"/>
        <v>0</v>
      </c>
    </row>
    <row r="7" spans="1:34" s="7" customFormat="1" x14ac:dyDescent="0.3">
      <c r="A7" s="7">
        <v>10</v>
      </c>
      <c r="B7" s="7" t="s">
        <v>39</v>
      </c>
      <c r="C7" s="7" t="s">
        <v>145</v>
      </c>
      <c r="D7" s="7" t="s">
        <v>151</v>
      </c>
      <c r="E7" s="7">
        <v>1181818</v>
      </c>
      <c r="F7" s="7">
        <v>80000</v>
      </c>
      <c r="G7" s="7">
        <v>105052245.52595152</v>
      </c>
      <c r="H7" s="7">
        <v>46363</v>
      </c>
      <c r="I7" s="7">
        <v>2272727</v>
      </c>
      <c r="J7" s="7">
        <v>0</v>
      </c>
      <c r="K7" s="7">
        <v>0</v>
      </c>
      <c r="L7" s="7">
        <v>35350</v>
      </c>
      <c r="M7" s="7">
        <v>0</v>
      </c>
      <c r="N7" s="7">
        <v>5454.545454545455</v>
      </c>
      <c r="O7" s="7">
        <v>3850000</v>
      </c>
      <c r="P7" s="7">
        <v>0</v>
      </c>
      <c r="Q7" s="7">
        <v>0</v>
      </c>
      <c r="R7" s="7">
        <v>0</v>
      </c>
      <c r="S7" s="7">
        <v>0</v>
      </c>
      <c r="T7" s="7">
        <v>44062786.684784584</v>
      </c>
      <c r="U7" s="7">
        <v>0</v>
      </c>
      <c r="V7" s="7">
        <v>204737609.89520222</v>
      </c>
      <c r="W7" s="7">
        <v>2455218331.519578</v>
      </c>
      <c r="X7" s="7">
        <v>54619.885304896052</v>
      </c>
      <c r="Y7" s="7">
        <v>0</v>
      </c>
      <c r="Z7" s="7">
        <v>0</v>
      </c>
      <c r="AA7" s="7">
        <v>11700000</v>
      </c>
      <c r="AB7" s="7">
        <v>0</v>
      </c>
      <c r="AC7" s="7">
        <v>66</v>
      </c>
      <c r="AD7" s="7">
        <v>50</v>
      </c>
      <c r="AE7" s="7">
        <v>0</v>
      </c>
      <c r="AF7" s="7">
        <v>154</v>
      </c>
      <c r="AG7" s="7">
        <v>0</v>
      </c>
      <c r="AH7" s="7">
        <v>229600</v>
      </c>
    </row>
    <row r="8" spans="1:34" s="7" customFormat="1" x14ac:dyDescent="0.3">
      <c r="B8" s="7" t="s">
        <v>159</v>
      </c>
      <c r="C8" s="7" t="s">
        <v>145</v>
      </c>
      <c r="D8" s="7" t="s">
        <v>151</v>
      </c>
      <c r="E8" s="7">
        <f>E7/10</f>
        <v>118181.8</v>
      </c>
      <c r="F8" s="7">
        <f t="shared" ref="F8:U11" si="2">F7/10</f>
        <v>8000</v>
      </c>
      <c r="G8" s="7">
        <f t="shared" si="2"/>
        <v>10505224.552595152</v>
      </c>
      <c r="H8" s="7">
        <f t="shared" si="2"/>
        <v>4636.3</v>
      </c>
      <c r="I8" s="7">
        <f t="shared" si="2"/>
        <v>227272.7</v>
      </c>
      <c r="J8" s="7">
        <f t="shared" si="2"/>
        <v>0</v>
      </c>
      <c r="K8" s="7">
        <f t="shared" si="2"/>
        <v>0</v>
      </c>
      <c r="L8" s="7">
        <f t="shared" si="2"/>
        <v>3535</v>
      </c>
      <c r="M8" s="7">
        <f t="shared" si="2"/>
        <v>0</v>
      </c>
      <c r="N8" s="7">
        <f t="shared" si="2"/>
        <v>545.4545454545455</v>
      </c>
      <c r="O8" s="7">
        <f t="shared" si="2"/>
        <v>385000</v>
      </c>
      <c r="P8" s="7">
        <f t="shared" si="2"/>
        <v>0</v>
      </c>
      <c r="Q8" s="7">
        <f t="shared" si="2"/>
        <v>0</v>
      </c>
      <c r="R8" s="7">
        <f t="shared" si="2"/>
        <v>0</v>
      </c>
      <c r="S8" s="7">
        <f t="shared" si="2"/>
        <v>0</v>
      </c>
      <c r="T8" s="7">
        <f t="shared" si="2"/>
        <v>4406278.6684784582</v>
      </c>
      <c r="U8" s="7">
        <f t="shared" si="2"/>
        <v>0</v>
      </c>
      <c r="V8" s="7">
        <f t="shared" ref="V8:AH11" si="3">V7/10</f>
        <v>20473760.989520222</v>
      </c>
      <c r="W8" s="7">
        <f t="shared" si="3"/>
        <v>245521833.15195781</v>
      </c>
      <c r="X8" s="7">
        <f t="shared" si="3"/>
        <v>5461.9885304896052</v>
      </c>
      <c r="Y8" s="7">
        <f t="shared" si="3"/>
        <v>0</v>
      </c>
      <c r="Z8" s="7">
        <f t="shared" si="3"/>
        <v>0</v>
      </c>
      <c r="AA8" s="7">
        <f t="shared" si="3"/>
        <v>1170000</v>
      </c>
      <c r="AB8" s="7">
        <f t="shared" si="3"/>
        <v>0</v>
      </c>
      <c r="AC8" s="7">
        <v>0</v>
      </c>
      <c r="AD8" s="7">
        <v>0</v>
      </c>
      <c r="AE8" s="7">
        <f t="shared" si="3"/>
        <v>0</v>
      </c>
      <c r="AF8" s="7">
        <v>0</v>
      </c>
      <c r="AG8" s="7">
        <f t="shared" si="3"/>
        <v>0</v>
      </c>
      <c r="AH8" s="7">
        <f t="shared" si="3"/>
        <v>22960</v>
      </c>
    </row>
    <row r="9" spans="1:34" s="7" customFormat="1" x14ac:dyDescent="0.3">
      <c r="B9" s="7" t="s">
        <v>160</v>
      </c>
      <c r="C9" s="7" t="s">
        <v>145</v>
      </c>
      <c r="D9" s="7" t="s">
        <v>151</v>
      </c>
      <c r="E9" s="7">
        <f t="shared" ref="E9:E11" si="4">E8/10</f>
        <v>11818.18</v>
      </c>
      <c r="F9" s="7">
        <f t="shared" si="2"/>
        <v>800</v>
      </c>
      <c r="G9" s="7">
        <f t="shared" si="2"/>
        <v>1050522.4552595152</v>
      </c>
      <c r="H9" s="7">
        <f t="shared" si="2"/>
        <v>463.63</v>
      </c>
      <c r="I9" s="7">
        <f t="shared" si="2"/>
        <v>22727.27</v>
      </c>
      <c r="J9" s="7">
        <f t="shared" si="2"/>
        <v>0</v>
      </c>
      <c r="K9" s="7">
        <f t="shared" si="2"/>
        <v>0</v>
      </c>
      <c r="L9" s="7">
        <f t="shared" si="2"/>
        <v>353.5</v>
      </c>
      <c r="M9" s="7">
        <f t="shared" si="2"/>
        <v>0</v>
      </c>
      <c r="N9" s="7">
        <f t="shared" si="2"/>
        <v>54.545454545454547</v>
      </c>
      <c r="O9" s="7">
        <f t="shared" si="2"/>
        <v>38500</v>
      </c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440627.86684784584</v>
      </c>
      <c r="U9" s="7">
        <f t="shared" si="2"/>
        <v>0</v>
      </c>
      <c r="V9" s="7">
        <f t="shared" si="3"/>
        <v>2047376.0989520221</v>
      </c>
      <c r="W9" s="7">
        <f t="shared" si="3"/>
        <v>24552183.31519578</v>
      </c>
      <c r="X9" s="7">
        <f t="shared" si="3"/>
        <v>546.19885304896047</v>
      </c>
      <c r="Y9" s="7">
        <f t="shared" si="3"/>
        <v>0</v>
      </c>
      <c r="Z9" s="7">
        <f t="shared" si="3"/>
        <v>0</v>
      </c>
      <c r="AA9" s="7">
        <f t="shared" si="3"/>
        <v>117000</v>
      </c>
      <c r="AB9" s="7">
        <f t="shared" si="3"/>
        <v>0</v>
      </c>
      <c r="AC9" s="7">
        <f t="shared" si="3"/>
        <v>0</v>
      </c>
      <c r="AD9" s="7">
        <f t="shared" si="3"/>
        <v>0</v>
      </c>
      <c r="AE9" s="7">
        <f t="shared" si="3"/>
        <v>0</v>
      </c>
      <c r="AF9" s="7">
        <f t="shared" si="3"/>
        <v>0</v>
      </c>
      <c r="AG9" s="7">
        <f t="shared" si="3"/>
        <v>0</v>
      </c>
      <c r="AH9" s="7">
        <f t="shared" si="3"/>
        <v>2296</v>
      </c>
    </row>
    <row r="10" spans="1:34" s="7" customFormat="1" x14ac:dyDescent="0.3">
      <c r="B10" s="7" t="s">
        <v>161</v>
      </c>
      <c r="C10" s="7" t="s">
        <v>145</v>
      </c>
      <c r="D10" s="7" t="s">
        <v>151</v>
      </c>
      <c r="E10" s="7">
        <f t="shared" si="4"/>
        <v>1181.818</v>
      </c>
      <c r="F10" s="7">
        <f t="shared" si="2"/>
        <v>80</v>
      </c>
      <c r="G10" s="7">
        <f t="shared" si="2"/>
        <v>105052.24552595153</v>
      </c>
      <c r="H10" s="7">
        <f t="shared" si="2"/>
        <v>46.363</v>
      </c>
      <c r="I10" s="7">
        <f t="shared" si="2"/>
        <v>2272.7269999999999</v>
      </c>
      <c r="J10" s="7">
        <f t="shared" si="2"/>
        <v>0</v>
      </c>
      <c r="K10" s="7">
        <f t="shared" si="2"/>
        <v>0</v>
      </c>
      <c r="L10" s="7">
        <f t="shared" si="2"/>
        <v>35.35</v>
      </c>
      <c r="M10" s="7">
        <f t="shared" si="2"/>
        <v>0</v>
      </c>
      <c r="N10" s="7">
        <v>0</v>
      </c>
      <c r="O10" s="7">
        <f t="shared" si="2"/>
        <v>3850</v>
      </c>
      <c r="P10" s="7">
        <f t="shared" si="2"/>
        <v>0</v>
      </c>
      <c r="Q10" s="7">
        <f t="shared" si="2"/>
        <v>0</v>
      </c>
      <c r="R10" s="7">
        <f t="shared" si="2"/>
        <v>0</v>
      </c>
      <c r="S10" s="7">
        <f t="shared" si="2"/>
        <v>0</v>
      </c>
      <c r="T10" s="7">
        <v>0</v>
      </c>
      <c r="U10" s="7">
        <f t="shared" si="2"/>
        <v>0</v>
      </c>
      <c r="V10" s="7">
        <f t="shared" si="3"/>
        <v>204737.60989520221</v>
      </c>
      <c r="W10" s="7">
        <f t="shared" si="3"/>
        <v>2455218.3315195781</v>
      </c>
      <c r="X10" s="7">
        <v>0</v>
      </c>
      <c r="Y10" s="7">
        <f t="shared" si="3"/>
        <v>0</v>
      </c>
      <c r="Z10" s="7">
        <f t="shared" si="3"/>
        <v>0</v>
      </c>
      <c r="AA10" s="7">
        <v>0</v>
      </c>
      <c r="AB10" s="7">
        <f t="shared" si="3"/>
        <v>0</v>
      </c>
      <c r="AC10" s="7">
        <f t="shared" si="3"/>
        <v>0</v>
      </c>
      <c r="AD10" s="7">
        <f t="shared" si="3"/>
        <v>0</v>
      </c>
      <c r="AE10" s="7">
        <f t="shared" si="3"/>
        <v>0</v>
      </c>
      <c r="AF10" s="7">
        <f t="shared" si="3"/>
        <v>0</v>
      </c>
      <c r="AG10" s="7">
        <f t="shared" si="3"/>
        <v>0</v>
      </c>
      <c r="AH10" s="7">
        <v>0</v>
      </c>
    </row>
    <row r="11" spans="1:34" s="7" customFormat="1" x14ac:dyDescent="0.3">
      <c r="B11" s="7" t="s">
        <v>162</v>
      </c>
      <c r="C11" s="7" t="s">
        <v>145</v>
      </c>
      <c r="D11" s="7" t="s">
        <v>151</v>
      </c>
      <c r="E11" s="7">
        <f t="shared" si="4"/>
        <v>118.1818</v>
      </c>
      <c r="F11" s="7">
        <f t="shared" si="2"/>
        <v>8</v>
      </c>
      <c r="G11" s="7">
        <f t="shared" si="2"/>
        <v>10505.224552595153</v>
      </c>
      <c r="H11" s="7">
        <f t="shared" si="2"/>
        <v>4.6363000000000003</v>
      </c>
      <c r="I11" s="7">
        <f t="shared" si="2"/>
        <v>227.27269999999999</v>
      </c>
      <c r="J11" s="7">
        <f t="shared" si="2"/>
        <v>0</v>
      </c>
      <c r="K11" s="7">
        <f t="shared" si="2"/>
        <v>0</v>
      </c>
      <c r="L11" s="7">
        <v>0</v>
      </c>
      <c r="M11" s="7">
        <f t="shared" si="2"/>
        <v>0</v>
      </c>
      <c r="N11" s="7">
        <f t="shared" si="2"/>
        <v>0</v>
      </c>
      <c r="O11" s="7">
        <f t="shared" si="2"/>
        <v>385</v>
      </c>
      <c r="P11" s="7">
        <f t="shared" si="2"/>
        <v>0</v>
      </c>
      <c r="Q11" s="7">
        <f t="shared" si="2"/>
        <v>0</v>
      </c>
      <c r="R11" s="7">
        <f t="shared" si="2"/>
        <v>0</v>
      </c>
      <c r="S11" s="7">
        <f t="shared" si="2"/>
        <v>0</v>
      </c>
      <c r="T11" s="7">
        <f t="shared" si="2"/>
        <v>0</v>
      </c>
      <c r="U11" s="7">
        <f t="shared" si="2"/>
        <v>0</v>
      </c>
      <c r="V11" s="7">
        <f t="shared" si="3"/>
        <v>20473.760989520222</v>
      </c>
      <c r="W11" s="7">
        <f t="shared" si="3"/>
        <v>245521.83315195781</v>
      </c>
      <c r="X11" s="7">
        <f t="shared" si="3"/>
        <v>0</v>
      </c>
      <c r="Y11" s="7">
        <f t="shared" si="3"/>
        <v>0</v>
      </c>
      <c r="Z11" s="7">
        <f t="shared" si="3"/>
        <v>0</v>
      </c>
      <c r="AA11" s="7">
        <f t="shared" si="3"/>
        <v>0</v>
      </c>
      <c r="AB11" s="7">
        <f t="shared" si="3"/>
        <v>0</v>
      </c>
      <c r="AC11" s="7">
        <f t="shared" si="3"/>
        <v>0</v>
      </c>
      <c r="AD11" s="7">
        <f t="shared" si="3"/>
        <v>0</v>
      </c>
      <c r="AE11" s="7">
        <f t="shared" si="3"/>
        <v>0</v>
      </c>
      <c r="AF11" s="7">
        <f t="shared" si="3"/>
        <v>0</v>
      </c>
      <c r="AG11" s="7">
        <f t="shared" si="3"/>
        <v>0</v>
      </c>
      <c r="AH11" s="7">
        <f t="shared" si="3"/>
        <v>0</v>
      </c>
    </row>
    <row r="12" spans="1:34" s="7" customFormat="1" x14ac:dyDescent="0.3">
      <c r="A12" s="7">
        <v>22</v>
      </c>
      <c r="B12" s="7" t="s">
        <v>51</v>
      </c>
      <c r="C12" s="7" t="s">
        <v>147</v>
      </c>
      <c r="D12" s="7" t="s">
        <v>151</v>
      </c>
      <c r="E12" s="7">
        <v>8136363</v>
      </c>
      <c r="F12" s="7">
        <v>481818</v>
      </c>
      <c r="G12" s="7">
        <v>2142909074.9294496</v>
      </c>
      <c r="H12" s="7">
        <v>1328</v>
      </c>
      <c r="I12" s="7">
        <v>5454545</v>
      </c>
      <c r="J12" s="7">
        <v>0</v>
      </c>
      <c r="K12" s="7">
        <v>0</v>
      </c>
      <c r="L12" s="7">
        <v>0</v>
      </c>
      <c r="M12" s="7">
        <v>50</v>
      </c>
      <c r="N12" s="7">
        <v>23181.818181818184</v>
      </c>
      <c r="O12" s="7">
        <v>570454.54545454553</v>
      </c>
      <c r="P12" s="7">
        <v>0</v>
      </c>
      <c r="Q12" s="7">
        <v>0</v>
      </c>
      <c r="R12" s="7">
        <v>0</v>
      </c>
      <c r="S12" s="7">
        <v>20054967.382788099</v>
      </c>
      <c r="T12" s="7">
        <v>572343770.17011642</v>
      </c>
      <c r="U12" s="7">
        <v>0</v>
      </c>
      <c r="V12" s="7">
        <v>0</v>
      </c>
      <c r="W12" s="7">
        <v>420166125.92411584</v>
      </c>
      <c r="X12" s="7">
        <v>1850552.8531603306</v>
      </c>
      <c r="Y12" s="7">
        <v>5280000</v>
      </c>
      <c r="Z12" s="7">
        <v>0</v>
      </c>
      <c r="AA12" s="7">
        <v>0</v>
      </c>
      <c r="AB12" s="7">
        <v>346000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</row>
    <row r="13" spans="1:34" s="7" customFormat="1" x14ac:dyDescent="0.3">
      <c r="B13" s="7" t="s">
        <v>163</v>
      </c>
      <c r="C13" s="7" t="s">
        <v>147</v>
      </c>
      <c r="D13" s="7" t="s">
        <v>151</v>
      </c>
      <c r="E13" s="7">
        <f>E12/10</f>
        <v>813636.3</v>
      </c>
      <c r="F13" s="7">
        <f t="shared" ref="F13:U16" si="5">F12/10</f>
        <v>48181.8</v>
      </c>
      <c r="G13" s="7">
        <f t="shared" si="5"/>
        <v>214290907.49294496</v>
      </c>
      <c r="H13" s="7">
        <f t="shared" si="5"/>
        <v>132.80000000000001</v>
      </c>
      <c r="I13" s="7">
        <f t="shared" si="5"/>
        <v>545454.5</v>
      </c>
      <c r="J13" s="7">
        <f t="shared" si="5"/>
        <v>0</v>
      </c>
      <c r="K13" s="7">
        <f t="shared" si="5"/>
        <v>0</v>
      </c>
      <c r="L13" s="7">
        <f t="shared" si="5"/>
        <v>0</v>
      </c>
      <c r="M13" s="7">
        <f t="shared" si="5"/>
        <v>5</v>
      </c>
      <c r="N13" s="7">
        <f t="shared" si="5"/>
        <v>2318.1818181818185</v>
      </c>
      <c r="O13" s="7">
        <f t="shared" si="5"/>
        <v>57045.454545454551</v>
      </c>
      <c r="P13" s="7">
        <f t="shared" si="5"/>
        <v>0</v>
      </c>
      <c r="Q13" s="7">
        <f t="shared" si="5"/>
        <v>0</v>
      </c>
      <c r="R13" s="7">
        <f t="shared" si="5"/>
        <v>0</v>
      </c>
      <c r="S13" s="7">
        <f t="shared" si="5"/>
        <v>2005496.7382788099</v>
      </c>
      <c r="T13" s="7">
        <f t="shared" si="5"/>
        <v>57234377.017011642</v>
      </c>
      <c r="U13" s="7">
        <f t="shared" si="5"/>
        <v>0</v>
      </c>
      <c r="V13" s="7">
        <f t="shared" ref="V13:AH16" si="6">V12/10</f>
        <v>0</v>
      </c>
      <c r="W13" s="7">
        <f t="shared" si="6"/>
        <v>42016612.592411585</v>
      </c>
      <c r="X13" s="7">
        <f t="shared" si="6"/>
        <v>185055.28531603306</v>
      </c>
      <c r="Y13" s="7">
        <f t="shared" si="6"/>
        <v>528000</v>
      </c>
      <c r="Z13" s="7">
        <f t="shared" si="6"/>
        <v>0</v>
      </c>
      <c r="AA13" s="7">
        <f t="shared" si="6"/>
        <v>0</v>
      </c>
      <c r="AB13" s="7">
        <f t="shared" si="6"/>
        <v>34600</v>
      </c>
      <c r="AC13" s="7">
        <f t="shared" si="6"/>
        <v>0</v>
      </c>
      <c r="AD13" s="7">
        <f t="shared" si="6"/>
        <v>0</v>
      </c>
      <c r="AE13" s="7">
        <f t="shared" si="6"/>
        <v>0</v>
      </c>
      <c r="AF13" s="7">
        <f t="shared" si="6"/>
        <v>0</v>
      </c>
      <c r="AG13" s="7">
        <f t="shared" si="6"/>
        <v>0</v>
      </c>
      <c r="AH13" s="7">
        <f t="shared" si="6"/>
        <v>0</v>
      </c>
    </row>
    <row r="14" spans="1:34" s="7" customFormat="1" x14ac:dyDescent="0.3">
      <c r="B14" s="7" t="s">
        <v>164</v>
      </c>
      <c r="C14" s="7" t="s">
        <v>147</v>
      </c>
      <c r="D14" s="7" t="s">
        <v>151</v>
      </c>
      <c r="E14" s="7">
        <f t="shared" ref="E14:E16" si="7">E13/10</f>
        <v>81363.63</v>
      </c>
      <c r="F14" s="7">
        <f t="shared" si="5"/>
        <v>4818.18</v>
      </c>
      <c r="G14" s="7">
        <f t="shared" si="5"/>
        <v>21429090.749294497</v>
      </c>
      <c r="H14" s="7">
        <f t="shared" si="5"/>
        <v>13.280000000000001</v>
      </c>
      <c r="I14" s="7">
        <f t="shared" si="5"/>
        <v>54545.45</v>
      </c>
      <c r="J14" s="7">
        <f t="shared" si="5"/>
        <v>0</v>
      </c>
      <c r="K14" s="7">
        <f t="shared" si="5"/>
        <v>0</v>
      </c>
      <c r="L14" s="7">
        <f t="shared" si="5"/>
        <v>0</v>
      </c>
      <c r="M14" s="7">
        <v>0</v>
      </c>
      <c r="N14" s="7">
        <f t="shared" si="5"/>
        <v>231.81818181818184</v>
      </c>
      <c r="O14" s="7">
        <f t="shared" si="5"/>
        <v>5704.545454545455</v>
      </c>
      <c r="P14" s="7">
        <f t="shared" si="5"/>
        <v>0</v>
      </c>
      <c r="Q14" s="7">
        <f t="shared" si="5"/>
        <v>0</v>
      </c>
      <c r="R14" s="7">
        <f t="shared" si="5"/>
        <v>0</v>
      </c>
      <c r="S14" s="7">
        <f t="shared" si="5"/>
        <v>200549.67382788099</v>
      </c>
      <c r="T14" s="7">
        <f t="shared" si="5"/>
        <v>5723437.7017011642</v>
      </c>
      <c r="U14" s="7">
        <f t="shared" si="5"/>
        <v>0</v>
      </c>
      <c r="V14" s="7">
        <f t="shared" si="6"/>
        <v>0</v>
      </c>
      <c r="W14" s="7">
        <f t="shared" si="6"/>
        <v>4201661.2592411581</v>
      </c>
      <c r="X14" s="7">
        <f t="shared" si="6"/>
        <v>18505.528531603304</v>
      </c>
      <c r="Y14" s="7">
        <f t="shared" si="6"/>
        <v>52800</v>
      </c>
      <c r="Z14" s="7">
        <f t="shared" si="6"/>
        <v>0</v>
      </c>
      <c r="AA14" s="7">
        <f t="shared" si="6"/>
        <v>0</v>
      </c>
      <c r="AB14" s="7">
        <v>0</v>
      </c>
      <c r="AC14" s="7">
        <f t="shared" si="6"/>
        <v>0</v>
      </c>
      <c r="AD14" s="7">
        <f t="shared" si="6"/>
        <v>0</v>
      </c>
      <c r="AE14" s="7">
        <f t="shared" si="6"/>
        <v>0</v>
      </c>
      <c r="AF14" s="7">
        <f t="shared" si="6"/>
        <v>0</v>
      </c>
      <c r="AG14" s="7">
        <f t="shared" si="6"/>
        <v>0</v>
      </c>
      <c r="AH14" s="7">
        <f t="shared" si="6"/>
        <v>0</v>
      </c>
    </row>
    <row r="15" spans="1:34" s="7" customFormat="1" x14ac:dyDescent="0.3">
      <c r="B15" s="7" t="s">
        <v>165</v>
      </c>
      <c r="C15" s="7" t="s">
        <v>147</v>
      </c>
      <c r="D15" s="7" t="s">
        <v>151</v>
      </c>
      <c r="E15" s="7">
        <f t="shared" si="7"/>
        <v>8136.3630000000003</v>
      </c>
      <c r="F15" s="7">
        <f t="shared" si="5"/>
        <v>481.81800000000004</v>
      </c>
      <c r="G15" s="7">
        <f t="shared" si="5"/>
        <v>2142909.0749294497</v>
      </c>
      <c r="H15" s="7">
        <f t="shared" si="5"/>
        <v>1.3280000000000001</v>
      </c>
      <c r="I15" s="7">
        <f t="shared" si="5"/>
        <v>5454.5450000000001</v>
      </c>
      <c r="J15" s="7">
        <f t="shared" si="5"/>
        <v>0</v>
      </c>
      <c r="K15" s="7">
        <f t="shared" si="5"/>
        <v>0</v>
      </c>
      <c r="L15" s="7">
        <f t="shared" si="5"/>
        <v>0</v>
      </c>
      <c r="M15" s="7">
        <f t="shared" si="5"/>
        <v>0</v>
      </c>
      <c r="N15" s="7">
        <v>0</v>
      </c>
      <c r="O15" s="7">
        <f t="shared" si="5"/>
        <v>570.4545454545455</v>
      </c>
      <c r="P15" s="7">
        <f t="shared" si="5"/>
        <v>0</v>
      </c>
      <c r="Q15" s="7">
        <f t="shared" si="5"/>
        <v>0</v>
      </c>
      <c r="R15" s="7">
        <f t="shared" si="5"/>
        <v>0</v>
      </c>
      <c r="S15" s="7">
        <v>0</v>
      </c>
      <c r="T15" s="7">
        <f t="shared" si="5"/>
        <v>572343.77017011645</v>
      </c>
      <c r="U15" s="7">
        <f t="shared" si="5"/>
        <v>0</v>
      </c>
      <c r="V15" s="7">
        <f t="shared" si="6"/>
        <v>0</v>
      </c>
      <c r="W15" s="7">
        <f t="shared" si="6"/>
        <v>420166.12592411583</v>
      </c>
      <c r="X15" s="7">
        <f t="shared" si="6"/>
        <v>1850.5528531603304</v>
      </c>
      <c r="Y15" s="7">
        <v>0</v>
      </c>
      <c r="Z15" s="7">
        <f t="shared" si="6"/>
        <v>0</v>
      </c>
      <c r="AA15" s="7">
        <f t="shared" si="6"/>
        <v>0</v>
      </c>
      <c r="AB15" s="7">
        <v>0</v>
      </c>
      <c r="AC15" s="7">
        <f t="shared" si="6"/>
        <v>0</v>
      </c>
      <c r="AD15" s="7">
        <f t="shared" si="6"/>
        <v>0</v>
      </c>
      <c r="AE15" s="7">
        <f t="shared" si="6"/>
        <v>0</v>
      </c>
      <c r="AF15" s="7">
        <f t="shared" si="6"/>
        <v>0</v>
      </c>
      <c r="AG15" s="7">
        <f t="shared" si="6"/>
        <v>0</v>
      </c>
      <c r="AH15" s="7">
        <f t="shared" si="6"/>
        <v>0</v>
      </c>
    </row>
    <row r="16" spans="1:34" s="7" customFormat="1" x14ac:dyDescent="0.3">
      <c r="B16" s="7" t="s">
        <v>166</v>
      </c>
      <c r="C16" s="7" t="s">
        <v>147</v>
      </c>
      <c r="D16" s="7" t="s">
        <v>151</v>
      </c>
      <c r="E16" s="7">
        <f t="shared" si="7"/>
        <v>813.63630000000001</v>
      </c>
      <c r="F16" s="7">
        <f t="shared" si="5"/>
        <v>48.181800000000003</v>
      </c>
      <c r="G16" s="7">
        <f t="shared" si="5"/>
        <v>214290.90749294497</v>
      </c>
      <c r="H16" s="7">
        <v>0</v>
      </c>
      <c r="I16" s="7">
        <f t="shared" si="5"/>
        <v>545.45450000000005</v>
      </c>
      <c r="J16" s="7">
        <f t="shared" si="5"/>
        <v>0</v>
      </c>
      <c r="K16" s="7">
        <f t="shared" si="5"/>
        <v>0</v>
      </c>
      <c r="L16" s="7">
        <f t="shared" si="5"/>
        <v>0</v>
      </c>
      <c r="M16" s="7">
        <f t="shared" si="5"/>
        <v>0</v>
      </c>
      <c r="N16" s="7">
        <f t="shared" si="5"/>
        <v>0</v>
      </c>
      <c r="O16" s="7">
        <f t="shared" si="5"/>
        <v>57.045454545454547</v>
      </c>
      <c r="P16" s="7">
        <f t="shared" si="5"/>
        <v>0</v>
      </c>
      <c r="Q16" s="7">
        <f t="shared" si="5"/>
        <v>0</v>
      </c>
      <c r="R16" s="7">
        <f t="shared" si="5"/>
        <v>0</v>
      </c>
      <c r="S16" s="7">
        <f t="shared" si="5"/>
        <v>0</v>
      </c>
      <c r="T16" s="7">
        <v>0</v>
      </c>
      <c r="U16" s="7">
        <f t="shared" si="5"/>
        <v>0</v>
      </c>
      <c r="V16" s="7">
        <f t="shared" si="6"/>
        <v>0</v>
      </c>
      <c r="W16" s="7">
        <f t="shared" si="6"/>
        <v>42016.612592411584</v>
      </c>
      <c r="X16" s="7">
        <v>0</v>
      </c>
      <c r="Y16" s="7">
        <f t="shared" si="6"/>
        <v>0</v>
      </c>
      <c r="Z16" s="7">
        <f t="shared" si="6"/>
        <v>0</v>
      </c>
      <c r="AA16" s="7">
        <f t="shared" si="6"/>
        <v>0</v>
      </c>
      <c r="AB16" s="7">
        <f t="shared" si="6"/>
        <v>0</v>
      </c>
      <c r="AC16" s="7">
        <f t="shared" si="6"/>
        <v>0</v>
      </c>
      <c r="AD16" s="7">
        <f t="shared" si="6"/>
        <v>0</v>
      </c>
      <c r="AE16" s="7">
        <f t="shared" si="6"/>
        <v>0</v>
      </c>
      <c r="AF16" s="7">
        <f t="shared" si="6"/>
        <v>0</v>
      </c>
      <c r="AG16" s="7">
        <f t="shared" si="6"/>
        <v>0</v>
      </c>
      <c r="AH16" s="7">
        <f t="shared" si="6"/>
        <v>0</v>
      </c>
    </row>
    <row r="17" spans="1:34" s="7" customFormat="1" x14ac:dyDescent="0.3">
      <c r="A17" s="7">
        <v>32</v>
      </c>
      <c r="B17" s="7" t="s">
        <v>61</v>
      </c>
      <c r="C17" s="7" t="s">
        <v>145</v>
      </c>
      <c r="D17" s="7" t="s">
        <v>151</v>
      </c>
      <c r="E17" s="7">
        <v>33300</v>
      </c>
      <c r="F17" s="7">
        <v>3900</v>
      </c>
      <c r="G17" s="7">
        <v>917122715.4822433</v>
      </c>
      <c r="H17" s="7">
        <v>30</v>
      </c>
      <c r="I17" s="7">
        <v>10</v>
      </c>
      <c r="J17" s="7">
        <v>0</v>
      </c>
      <c r="K17" s="7">
        <v>0</v>
      </c>
      <c r="L17" s="7">
        <v>0</v>
      </c>
      <c r="M17" s="7">
        <v>0</v>
      </c>
      <c r="N17" s="7">
        <v>409</v>
      </c>
      <c r="O17" s="7">
        <v>14800000</v>
      </c>
      <c r="P17" s="7">
        <v>0</v>
      </c>
      <c r="Q17" s="7">
        <v>26800000</v>
      </c>
      <c r="R17" s="7">
        <v>0</v>
      </c>
      <c r="S17" s="7">
        <v>0</v>
      </c>
      <c r="T17" s="7">
        <v>24322709.901823178</v>
      </c>
      <c r="U17" s="7">
        <v>0</v>
      </c>
      <c r="V17" s="7">
        <v>6809556436.8751297</v>
      </c>
      <c r="W17" s="7">
        <v>10247650423.896111</v>
      </c>
      <c r="X17" s="7">
        <v>0</v>
      </c>
      <c r="Y17" s="7">
        <v>0</v>
      </c>
      <c r="Z17" s="7">
        <v>0</v>
      </c>
      <c r="AA17" s="7">
        <v>10500000</v>
      </c>
      <c r="AB17" s="7">
        <v>0</v>
      </c>
      <c r="AC17" s="7">
        <v>290</v>
      </c>
      <c r="AD17" s="7">
        <v>990</v>
      </c>
      <c r="AE17" s="7">
        <v>0</v>
      </c>
      <c r="AF17" s="7">
        <v>410</v>
      </c>
      <c r="AG17" s="7">
        <v>0</v>
      </c>
      <c r="AH17" s="7">
        <v>0</v>
      </c>
    </row>
    <row r="18" spans="1:34" s="7" customFormat="1" x14ac:dyDescent="0.3">
      <c r="B18" s="7" t="s">
        <v>167</v>
      </c>
      <c r="C18" s="7" t="s">
        <v>145</v>
      </c>
      <c r="D18" s="7" t="s">
        <v>151</v>
      </c>
      <c r="E18" s="7">
        <f>E17/10</f>
        <v>3330</v>
      </c>
      <c r="F18" s="7">
        <f t="shared" ref="F18:U21" si="8">F17/10</f>
        <v>390</v>
      </c>
      <c r="G18" s="7">
        <f t="shared" si="8"/>
        <v>91712271.54822433</v>
      </c>
      <c r="H18" s="7">
        <f t="shared" si="8"/>
        <v>3</v>
      </c>
      <c r="I18" s="7">
        <v>0</v>
      </c>
      <c r="J18" s="7">
        <f t="shared" si="8"/>
        <v>0</v>
      </c>
      <c r="K18" s="7">
        <f t="shared" si="8"/>
        <v>0</v>
      </c>
      <c r="L18" s="7">
        <f t="shared" si="8"/>
        <v>0</v>
      </c>
      <c r="M18" s="7">
        <f t="shared" si="8"/>
        <v>0</v>
      </c>
      <c r="N18" s="7">
        <v>0</v>
      </c>
      <c r="O18" s="7">
        <f t="shared" si="8"/>
        <v>1480000</v>
      </c>
      <c r="P18" s="7">
        <f t="shared" si="8"/>
        <v>0</v>
      </c>
      <c r="Q18" s="7">
        <f t="shared" si="8"/>
        <v>2680000</v>
      </c>
      <c r="R18" s="7">
        <f t="shared" si="8"/>
        <v>0</v>
      </c>
      <c r="S18" s="7">
        <f t="shared" si="8"/>
        <v>0</v>
      </c>
      <c r="T18" s="7">
        <f t="shared" si="8"/>
        <v>2432270.9901823178</v>
      </c>
      <c r="U18" s="7">
        <f t="shared" si="8"/>
        <v>0</v>
      </c>
      <c r="V18" s="7">
        <f t="shared" ref="V18:AH21" si="9">V17/10</f>
        <v>680955643.68751299</v>
      </c>
      <c r="W18" s="7">
        <f t="shared" si="9"/>
        <v>1024765042.389611</v>
      </c>
      <c r="X18" s="7">
        <f t="shared" si="9"/>
        <v>0</v>
      </c>
      <c r="Y18" s="7">
        <f t="shared" si="9"/>
        <v>0</v>
      </c>
      <c r="Z18" s="7">
        <f t="shared" si="9"/>
        <v>0</v>
      </c>
      <c r="AA18" s="7">
        <f t="shared" si="9"/>
        <v>1050000</v>
      </c>
      <c r="AB18" s="7">
        <f t="shared" si="9"/>
        <v>0</v>
      </c>
      <c r="AC18" s="7">
        <v>0</v>
      </c>
      <c r="AD18" s="7">
        <f t="shared" si="9"/>
        <v>99</v>
      </c>
      <c r="AE18" s="7">
        <f t="shared" si="9"/>
        <v>0</v>
      </c>
      <c r="AF18" s="7">
        <v>0</v>
      </c>
      <c r="AG18" s="7">
        <f t="shared" si="9"/>
        <v>0</v>
      </c>
      <c r="AH18" s="7">
        <f t="shared" si="9"/>
        <v>0</v>
      </c>
    </row>
    <row r="19" spans="1:34" s="7" customFormat="1" x14ac:dyDescent="0.3">
      <c r="B19" s="7" t="s">
        <v>168</v>
      </c>
      <c r="C19" s="7" t="s">
        <v>145</v>
      </c>
      <c r="D19" s="7" t="s">
        <v>151</v>
      </c>
      <c r="E19" s="7">
        <f t="shared" ref="E19:E21" si="10">E18/10</f>
        <v>333</v>
      </c>
      <c r="F19" s="7">
        <f t="shared" si="8"/>
        <v>39</v>
      </c>
      <c r="G19" s="7">
        <f t="shared" si="8"/>
        <v>9171227.1548224334</v>
      </c>
      <c r="H19" s="7">
        <v>0</v>
      </c>
      <c r="I19" s="7">
        <f t="shared" si="8"/>
        <v>0</v>
      </c>
      <c r="J19" s="7">
        <f t="shared" si="8"/>
        <v>0</v>
      </c>
      <c r="K19" s="7">
        <f t="shared" si="8"/>
        <v>0</v>
      </c>
      <c r="L19" s="7">
        <f t="shared" si="8"/>
        <v>0</v>
      </c>
      <c r="M19" s="7">
        <f t="shared" si="8"/>
        <v>0</v>
      </c>
      <c r="N19" s="7">
        <f t="shared" si="8"/>
        <v>0</v>
      </c>
      <c r="O19" s="7">
        <f t="shared" si="8"/>
        <v>148000</v>
      </c>
      <c r="P19" s="7">
        <f t="shared" si="8"/>
        <v>0</v>
      </c>
      <c r="Q19" s="7">
        <f t="shared" si="8"/>
        <v>268000</v>
      </c>
      <c r="R19" s="7">
        <f t="shared" si="8"/>
        <v>0</v>
      </c>
      <c r="S19" s="7">
        <f t="shared" si="8"/>
        <v>0</v>
      </c>
      <c r="T19" s="7">
        <f t="shared" si="8"/>
        <v>243227.09901823179</v>
      </c>
      <c r="U19" s="7">
        <f t="shared" si="8"/>
        <v>0</v>
      </c>
      <c r="V19" s="7">
        <f t="shared" si="9"/>
        <v>68095564.368751302</v>
      </c>
      <c r="W19" s="7">
        <f t="shared" si="9"/>
        <v>102476504.2389611</v>
      </c>
      <c r="X19" s="7">
        <f t="shared" si="9"/>
        <v>0</v>
      </c>
      <c r="Y19" s="7">
        <f t="shared" si="9"/>
        <v>0</v>
      </c>
      <c r="Z19" s="7">
        <f t="shared" si="9"/>
        <v>0</v>
      </c>
      <c r="AA19" s="7">
        <f t="shared" si="9"/>
        <v>105000</v>
      </c>
      <c r="AB19" s="7">
        <f t="shared" si="9"/>
        <v>0</v>
      </c>
      <c r="AC19" s="7">
        <f t="shared" si="9"/>
        <v>0</v>
      </c>
      <c r="AD19" s="7">
        <v>0</v>
      </c>
      <c r="AE19" s="7">
        <f t="shared" si="9"/>
        <v>0</v>
      </c>
      <c r="AF19" s="7">
        <f t="shared" si="9"/>
        <v>0</v>
      </c>
      <c r="AG19" s="7">
        <f t="shared" si="9"/>
        <v>0</v>
      </c>
      <c r="AH19" s="7">
        <f t="shared" si="9"/>
        <v>0</v>
      </c>
    </row>
    <row r="20" spans="1:34" s="7" customFormat="1" x14ac:dyDescent="0.3">
      <c r="B20" s="7" t="s">
        <v>169</v>
      </c>
      <c r="C20" s="7" t="s">
        <v>145</v>
      </c>
      <c r="D20" s="7" t="s">
        <v>151</v>
      </c>
      <c r="E20" s="7">
        <f t="shared" si="10"/>
        <v>33.299999999999997</v>
      </c>
      <c r="F20" s="7">
        <f t="shared" si="8"/>
        <v>3.9</v>
      </c>
      <c r="G20" s="7">
        <f t="shared" si="8"/>
        <v>917122.71548224334</v>
      </c>
      <c r="H20" s="7">
        <f t="shared" si="8"/>
        <v>0</v>
      </c>
      <c r="I20" s="7">
        <f t="shared" si="8"/>
        <v>0</v>
      </c>
      <c r="J20" s="7">
        <f t="shared" si="8"/>
        <v>0</v>
      </c>
      <c r="K20" s="7">
        <f t="shared" si="8"/>
        <v>0</v>
      </c>
      <c r="L20" s="7">
        <f t="shared" si="8"/>
        <v>0</v>
      </c>
      <c r="M20" s="7">
        <f t="shared" si="8"/>
        <v>0</v>
      </c>
      <c r="N20" s="7">
        <f t="shared" si="8"/>
        <v>0</v>
      </c>
      <c r="O20" s="7">
        <f t="shared" si="8"/>
        <v>14800</v>
      </c>
      <c r="P20" s="7">
        <f t="shared" si="8"/>
        <v>0</v>
      </c>
      <c r="Q20" s="7">
        <v>0</v>
      </c>
      <c r="R20" s="7">
        <f t="shared" si="8"/>
        <v>0</v>
      </c>
      <c r="S20" s="7">
        <f t="shared" si="8"/>
        <v>0</v>
      </c>
      <c r="T20" s="7">
        <v>0</v>
      </c>
      <c r="U20" s="7">
        <f t="shared" si="8"/>
        <v>0</v>
      </c>
      <c r="V20" s="7">
        <f t="shared" si="9"/>
        <v>6809556.43687513</v>
      </c>
      <c r="W20" s="7">
        <f t="shared" si="9"/>
        <v>10247650.42389611</v>
      </c>
      <c r="X20" s="7">
        <f t="shared" si="9"/>
        <v>0</v>
      </c>
      <c r="Y20" s="7">
        <f t="shared" si="9"/>
        <v>0</v>
      </c>
      <c r="Z20" s="7">
        <f t="shared" si="9"/>
        <v>0</v>
      </c>
      <c r="AA20" s="7">
        <v>0</v>
      </c>
      <c r="AB20" s="7">
        <f t="shared" si="9"/>
        <v>0</v>
      </c>
      <c r="AC20" s="7">
        <f t="shared" si="9"/>
        <v>0</v>
      </c>
      <c r="AD20" s="7">
        <f t="shared" si="9"/>
        <v>0</v>
      </c>
      <c r="AE20" s="7">
        <f t="shared" si="9"/>
        <v>0</v>
      </c>
      <c r="AF20" s="7">
        <f t="shared" si="9"/>
        <v>0</v>
      </c>
      <c r="AG20" s="7">
        <f t="shared" si="9"/>
        <v>0</v>
      </c>
      <c r="AH20" s="7">
        <f t="shared" si="9"/>
        <v>0</v>
      </c>
    </row>
    <row r="21" spans="1:34" s="7" customFormat="1" x14ac:dyDescent="0.3">
      <c r="B21" s="7" t="s">
        <v>170</v>
      </c>
      <c r="C21" s="7" t="s">
        <v>145</v>
      </c>
      <c r="D21" s="7" t="s">
        <v>151</v>
      </c>
      <c r="E21" s="7">
        <f t="shared" si="10"/>
        <v>3.3299999999999996</v>
      </c>
      <c r="F21" s="7">
        <f t="shared" si="8"/>
        <v>0.39</v>
      </c>
      <c r="G21" s="7">
        <f t="shared" si="8"/>
        <v>91712.271548224337</v>
      </c>
      <c r="H21" s="7">
        <f t="shared" si="8"/>
        <v>0</v>
      </c>
      <c r="I21" s="7">
        <f t="shared" si="8"/>
        <v>0</v>
      </c>
      <c r="J21" s="7">
        <f t="shared" si="8"/>
        <v>0</v>
      </c>
      <c r="K21" s="7">
        <f t="shared" si="8"/>
        <v>0</v>
      </c>
      <c r="L21" s="7">
        <f t="shared" si="8"/>
        <v>0</v>
      </c>
      <c r="M21" s="7">
        <f t="shared" si="8"/>
        <v>0</v>
      </c>
      <c r="N21" s="7">
        <f t="shared" si="8"/>
        <v>0</v>
      </c>
      <c r="O21" s="7">
        <f t="shared" si="8"/>
        <v>1480</v>
      </c>
      <c r="P21" s="7">
        <f t="shared" si="8"/>
        <v>0</v>
      </c>
      <c r="Q21" s="7">
        <f t="shared" si="8"/>
        <v>0</v>
      </c>
      <c r="R21" s="7">
        <f t="shared" si="8"/>
        <v>0</v>
      </c>
      <c r="S21" s="7">
        <f t="shared" si="8"/>
        <v>0</v>
      </c>
      <c r="T21" s="7">
        <f t="shared" si="8"/>
        <v>0</v>
      </c>
      <c r="U21" s="7">
        <f t="shared" si="8"/>
        <v>0</v>
      </c>
      <c r="V21" s="7">
        <f t="shared" si="9"/>
        <v>680955.64368751296</v>
      </c>
      <c r="W21" s="7">
        <f t="shared" si="9"/>
        <v>1024765.042389611</v>
      </c>
      <c r="X21" s="7">
        <f t="shared" si="9"/>
        <v>0</v>
      </c>
      <c r="Y21" s="7">
        <f t="shared" si="9"/>
        <v>0</v>
      </c>
      <c r="Z21" s="7">
        <f t="shared" si="9"/>
        <v>0</v>
      </c>
      <c r="AA21" s="7">
        <f t="shared" si="9"/>
        <v>0</v>
      </c>
      <c r="AB21" s="7">
        <f t="shared" si="9"/>
        <v>0</v>
      </c>
      <c r="AC21" s="7">
        <f t="shared" si="9"/>
        <v>0</v>
      </c>
      <c r="AD21" s="7">
        <f t="shared" si="9"/>
        <v>0</v>
      </c>
      <c r="AE21" s="7">
        <f t="shared" si="9"/>
        <v>0</v>
      </c>
      <c r="AF21" s="7">
        <f t="shared" si="9"/>
        <v>0</v>
      </c>
      <c r="AG21" s="7">
        <f t="shared" si="9"/>
        <v>0</v>
      </c>
      <c r="AH21" s="7">
        <f t="shared" si="9"/>
        <v>0</v>
      </c>
    </row>
    <row r="22" spans="1:34" s="7" customFormat="1" x14ac:dyDescent="0.3">
      <c r="A22" s="7">
        <v>35</v>
      </c>
      <c r="B22" s="7" t="s">
        <v>64</v>
      </c>
      <c r="C22" s="7" t="s">
        <v>146</v>
      </c>
      <c r="D22" s="7" t="s">
        <v>146</v>
      </c>
      <c r="E22" s="7">
        <v>627000</v>
      </c>
      <c r="F22" s="7">
        <v>330000</v>
      </c>
      <c r="G22" s="7">
        <v>2096296040.6093228</v>
      </c>
      <c r="H22" s="7">
        <v>12200</v>
      </c>
      <c r="I22" s="7">
        <v>243000</v>
      </c>
      <c r="J22" s="7">
        <v>33.333333333333336</v>
      </c>
      <c r="K22" s="7">
        <v>0</v>
      </c>
      <c r="L22" s="7">
        <v>0</v>
      </c>
      <c r="M22" s="7">
        <v>200</v>
      </c>
      <c r="N22" s="7">
        <v>5320000</v>
      </c>
      <c r="O22" s="7">
        <v>8470000</v>
      </c>
      <c r="P22" s="7">
        <v>27350000</v>
      </c>
      <c r="Q22" s="7">
        <v>0</v>
      </c>
      <c r="R22" s="7">
        <v>0</v>
      </c>
      <c r="S22" s="7">
        <v>0</v>
      </c>
      <c r="T22" s="7">
        <v>72922568.984648645</v>
      </c>
      <c r="U22" s="7">
        <v>0</v>
      </c>
      <c r="V22" s="7">
        <v>9936.7600353435118</v>
      </c>
      <c r="W22" s="7">
        <v>5338841144.5729456</v>
      </c>
      <c r="X22" s="7">
        <v>60211532.380249135</v>
      </c>
      <c r="Y22" s="7">
        <v>534000</v>
      </c>
      <c r="Z22" s="7">
        <v>0</v>
      </c>
      <c r="AA22" s="7">
        <v>0</v>
      </c>
      <c r="AB22" s="7">
        <v>48800</v>
      </c>
      <c r="AC22" s="7">
        <v>0</v>
      </c>
      <c r="AD22" s="7">
        <v>0</v>
      </c>
      <c r="AE22" s="7">
        <v>0</v>
      </c>
      <c r="AF22" s="7">
        <v>0</v>
      </c>
      <c r="AG22" s="7">
        <v>45400</v>
      </c>
      <c r="AH22" s="7">
        <v>232400</v>
      </c>
    </row>
    <row r="23" spans="1:34" s="7" customFormat="1" x14ac:dyDescent="0.3">
      <c r="B23" s="7" t="s">
        <v>171</v>
      </c>
      <c r="C23" s="7" t="s">
        <v>146</v>
      </c>
      <c r="D23" s="7" t="s">
        <v>146</v>
      </c>
      <c r="E23" s="7">
        <f>E22/10</f>
        <v>62700</v>
      </c>
      <c r="F23" s="7">
        <f t="shared" ref="F23:U26" si="11">F22/10</f>
        <v>33000</v>
      </c>
      <c r="G23" s="7">
        <f t="shared" si="11"/>
        <v>209629604.06093228</v>
      </c>
      <c r="H23" s="7">
        <f t="shared" si="11"/>
        <v>1220</v>
      </c>
      <c r="I23" s="7">
        <f t="shared" si="11"/>
        <v>24300</v>
      </c>
      <c r="J23" s="7">
        <v>0</v>
      </c>
      <c r="K23" s="7">
        <f t="shared" si="11"/>
        <v>0</v>
      </c>
      <c r="L23" s="7">
        <f t="shared" si="11"/>
        <v>0</v>
      </c>
      <c r="M23" s="7">
        <f t="shared" si="11"/>
        <v>20</v>
      </c>
      <c r="N23" s="7">
        <f t="shared" si="11"/>
        <v>532000</v>
      </c>
      <c r="O23" s="7">
        <f t="shared" si="11"/>
        <v>847000</v>
      </c>
      <c r="P23" s="7">
        <f t="shared" si="11"/>
        <v>2735000</v>
      </c>
      <c r="Q23" s="7">
        <f t="shared" si="11"/>
        <v>0</v>
      </c>
      <c r="R23" s="7">
        <f t="shared" si="11"/>
        <v>0</v>
      </c>
      <c r="S23" s="7">
        <f t="shared" si="11"/>
        <v>0</v>
      </c>
      <c r="T23" s="7">
        <f t="shared" si="11"/>
        <v>7292256.8984648641</v>
      </c>
      <c r="U23" s="7">
        <f t="shared" si="11"/>
        <v>0</v>
      </c>
      <c r="V23" s="7">
        <f t="shared" ref="V23:AH26" si="12">V22/10</f>
        <v>993.67600353435114</v>
      </c>
      <c r="W23" s="7">
        <f t="shared" si="12"/>
        <v>533884114.45729458</v>
      </c>
      <c r="X23" s="7">
        <f t="shared" si="12"/>
        <v>6021153.2380249137</v>
      </c>
      <c r="Y23" s="7">
        <f t="shared" si="12"/>
        <v>53400</v>
      </c>
      <c r="Z23" s="7">
        <f t="shared" si="12"/>
        <v>0</v>
      </c>
      <c r="AA23" s="7">
        <f t="shared" si="12"/>
        <v>0</v>
      </c>
      <c r="AB23" s="7">
        <v>0</v>
      </c>
      <c r="AC23" s="7">
        <f t="shared" si="12"/>
        <v>0</v>
      </c>
      <c r="AD23" s="7">
        <f t="shared" si="12"/>
        <v>0</v>
      </c>
      <c r="AE23" s="7">
        <f t="shared" si="12"/>
        <v>0</v>
      </c>
      <c r="AF23" s="7">
        <f t="shared" si="12"/>
        <v>0</v>
      </c>
      <c r="AG23" s="7">
        <v>0</v>
      </c>
      <c r="AH23" s="7">
        <f t="shared" si="12"/>
        <v>23240</v>
      </c>
    </row>
    <row r="24" spans="1:34" s="7" customFormat="1" x14ac:dyDescent="0.3">
      <c r="B24" s="7" t="s">
        <v>172</v>
      </c>
      <c r="C24" s="7" t="s">
        <v>146</v>
      </c>
      <c r="D24" s="7" t="s">
        <v>146</v>
      </c>
      <c r="E24" s="7">
        <f t="shared" ref="E24:E26" si="13">E23/10</f>
        <v>6270</v>
      </c>
      <c r="F24" s="7">
        <f t="shared" si="11"/>
        <v>3300</v>
      </c>
      <c r="G24" s="7">
        <f t="shared" si="11"/>
        <v>20962960.406093229</v>
      </c>
      <c r="H24" s="7">
        <f t="shared" si="11"/>
        <v>122</v>
      </c>
      <c r="I24" s="7">
        <f t="shared" si="11"/>
        <v>2430</v>
      </c>
      <c r="J24" s="7">
        <v>0</v>
      </c>
      <c r="K24" s="7">
        <f t="shared" si="11"/>
        <v>0</v>
      </c>
      <c r="L24" s="7">
        <f t="shared" si="11"/>
        <v>0</v>
      </c>
      <c r="M24" s="7">
        <v>0</v>
      </c>
      <c r="N24" s="7">
        <f t="shared" si="11"/>
        <v>53200</v>
      </c>
      <c r="O24" s="7">
        <f t="shared" si="11"/>
        <v>84700</v>
      </c>
      <c r="P24" s="7">
        <f t="shared" si="11"/>
        <v>273500</v>
      </c>
      <c r="Q24" s="7">
        <f t="shared" si="11"/>
        <v>0</v>
      </c>
      <c r="R24" s="7">
        <f t="shared" si="11"/>
        <v>0</v>
      </c>
      <c r="S24" s="7">
        <f t="shared" si="11"/>
        <v>0</v>
      </c>
      <c r="T24" s="7">
        <f t="shared" si="11"/>
        <v>729225.68984648644</v>
      </c>
      <c r="U24" s="7">
        <f t="shared" si="11"/>
        <v>0</v>
      </c>
      <c r="V24" s="7">
        <v>0</v>
      </c>
      <c r="W24" s="7">
        <f t="shared" si="12"/>
        <v>53388411.445729457</v>
      </c>
      <c r="X24" s="7">
        <f t="shared" si="12"/>
        <v>602115.32380249142</v>
      </c>
      <c r="Y24" s="7">
        <v>0</v>
      </c>
      <c r="Z24" s="7">
        <f t="shared" si="12"/>
        <v>0</v>
      </c>
      <c r="AA24" s="7">
        <f t="shared" si="12"/>
        <v>0</v>
      </c>
      <c r="AB24" s="7">
        <f t="shared" si="12"/>
        <v>0</v>
      </c>
      <c r="AC24" s="7">
        <f t="shared" si="12"/>
        <v>0</v>
      </c>
      <c r="AD24" s="7">
        <f t="shared" si="12"/>
        <v>0</v>
      </c>
      <c r="AE24" s="7">
        <f t="shared" si="12"/>
        <v>0</v>
      </c>
      <c r="AF24" s="7">
        <f t="shared" si="12"/>
        <v>0</v>
      </c>
      <c r="AG24" s="7">
        <f t="shared" si="12"/>
        <v>0</v>
      </c>
      <c r="AH24" s="7">
        <f t="shared" si="12"/>
        <v>2324</v>
      </c>
    </row>
    <row r="25" spans="1:34" s="7" customFormat="1" x14ac:dyDescent="0.3">
      <c r="B25" s="7" t="s">
        <v>173</v>
      </c>
      <c r="C25" s="7" t="s">
        <v>146</v>
      </c>
      <c r="D25" s="7" t="s">
        <v>146</v>
      </c>
      <c r="E25" s="7">
        <f t="shared" si="13"/>
        <v>627</v>
      </c>
      <c r="F25" s="7">
        <f t="shared" si="11"/>
        <v>330</v>
      </c>
      <c r="G25" s="7">
        <f t="shared" si="11"/>
        <v>2096296.040609323</v>
      </c>
      <c r="H25" s="7">
        <f t="shared" si="11"/>
        <v>12.2</v>
      </c>
      <c r="I25" s="7">
        <f t="shared" si="11"/>
        <v>243</v>
      </c>
      <c r="J25" s="7">
        <f t="shared" si="11"/>
        <v>0</v>
      </c>
      <c r="K25" s="7">
        <f t="shared" si="11"/>
        <v>0</v>
      </c>
      <c r="L25" s="7">
        <f t="shared" si="11"/>
        <v>0</v>
      </c>
      <c r="M25" s="7">
        <f t="shared" si="11"/>
        <v>0</v>
      </c>
      <c r="N25" s="7">
        <f t="shared" si="11"/>
        <v>5320</v>
      </c>
      <c r="O25" s="7">
        <f t="shared" si="11"/>
        <v>8470</v>
      </c>
      <c r="P25" s="7">
        <v>0</v>
      </c>
      <c r="Q25" s="7">
        <f t="shared" si="11"/>
        <v>0</v>
      </c>
      <c r="R25" s="7">
        <f t="shared" si="11"/>
        <v>0</v>
      </c>
      <c r="S25" s="7">
        <f t="shared" si="11"/>
        <v>0</v>
      </c>
      <c r="T25" s="7">
        <f t="shared" si="11"/>
        <v>72922.568984648649</v>
      </c>
      <c r="U25" s="7">
        <f t="shared" si="11"/>
        <v>0</v>
      </c>
      <c r="V25" s="7">
        <f t="shared" ref="V25:AH28" si="14">V24/10</f>
        <v>0</v>
      </c>
      <c r="W25" s="7">
        <f t="shared" si="14"/>
        <v>5338841.1445729453</v>
      </c>
      <c r="X25" s="7">
        <f t="shared" si="14"/>
        <v>60211.53238024914</v>
      </c>
      <c r="Y25" s="7">
        <f t="shared" si="14"/>
        <v>0</v>
      </c>
      <c r="Z25" s="7">
        <f t="shared" si="14"/>
        <v>0</v>
      </c>
      <c r="AA25" s="7">
        <f t="shared" si="14"/>
        <v>0</v>
      </c>
      <c r="AB25" s="7">
        <f t="shared" si="14"/>
        <v>0</v>
      </c>
      <c r="AC25" s="7">
        <f t="shared" si="14"/>
        <v>0</v>
      </c>
      <c r="AD25" s="7">
        <f t="shared" si="14"/>
        <v>0</v>
      </c>
      <c r="AE25" s="7">
        <f t="shared" si="14"/>
        <v>0</v>
      </c>
      <c r="AF25" s="7">
        <f t="shared" si="14"/>
        <v>0</v>
      </c>
      <c r="AG25" s="7">
        <f t="shared" si="14"/>
        <v>0</v>
      </c>
      <c r="AH25" s="7">
        <v>0</v>
      </c>
    </row>
    <row r="26" spans="1:34" s="7" customFormat="1" x14ac:dyDescent="0.3">
      <c r="B26" s="7" t="s">
        <v>174</v>
      </c>
      <c r="C26" s="7" t="s">
        <v>146</v>
      </c>
      <c r="D26" s="7" t="s">
        <v>146</v>
      </c>
      <c r="E26" s="7">
        <f t="shared" si="13"/>
        <v>62.7</v>
      </c>
      <c r="F26" s="7">
        <f t="shared" si="11"/>
        <v>33</v>
      </c>
      <c r="G26" s="7">
        <f t="shared" si="11"/>
        <v>209629.6040609323</v>
      </c>
      <c r="H26" s="7">
        <f t="shared" si="11"/>
        <v>1.22</v>
      </c>
      <c r="I26" s="7">
        <f t="shared" si="11"/>
        <v>24.3</v>
      </c>
      <c r="J26" s="7">
        <f t="shared" si="11"/>
        <v>0</v>
      </c>
      <c r="K26" s="7">
        <f t="shared" si="11"/>
        <v>0</v>
      </c>
      <c r="L26" s="7">
        <f t="shared" si="11"/>
        <v>0</v>
      </c>
      <c r="M26" s="7">
        <f t="shared" si="11"/>
        <v>0</v>
      </c>
      <c r="N26" s="7">
        <f t="shared" si="11"/>
        <v>532</v>
      </c>
      <c r="O26" s="7">
        <f t="shared" si="11"/>
        <v>847</v>
      </c>
      <c r="P26" s="7">
        <f t="shared" si="11"/>
        <v>0</v>
      </c>
      <c r="Q26" s="7">
        <f t="shared" si="11"/>
        <v>0</v>
      </c>
      <c r="R26" s="7">
        <f t="shared" si="11"/>
        <v>0</v>
      </c>
      <c r="S26" s="7">
        <f t="shared" si="11"/>
        <v>0</v>
      </c>
      <c r="T26" s="7">
        <v>0</v>
      </c>
      <c r="U26" s="7">
        <f t="shared" si="11"/>
        <v>0</v>
      </c>
      <c r="V26" s="7">
        <f t="shared" si="14"/>
        <v>0</v>
      </c>
      <c r="W26" s="7">
        <f t="shared" si="14"/>
        <v>533884.11445729458</v>
      </c>
      <c r="X26" s="7">
        <f t="shared" si="14"/>
        <v>6021.1532380249137</v>
      </c>
      <c r="Y26" s="7">
        <f t="shared" si="14"/>
        <v>0</v>
      </c>
      <c r="Z26" s="7">
        <f t="shared" si="14"/>
        <v>0</v>
      </c>
      <c r="AA26" s="7">
        <f t="shared" si="14"/>
        <v>0</v>
      </c>
      <c r="AB26" s="7">
        <f t="shared" si="14"/>
        <v>0</v>
      </c>
      <c r="AC26" s="7">
        <f t="shared" si="14"/>
        <v>0</v>
      </c>
      <c r="AD26" s="7">
        <f t="shared" si="14"/>
        <v>0</v>
      </c>
      <c r="AE26" s="7">
        <f t="shared" si="14"/>
        <v>0</v>
      </c>
      <c r="AF26" s="7">
        <f t="shared" si="14"/>
        <v>0</v>
      </c>
      <c r="AG26" s="7">
        <f t="shared" si="14"/>
        <v>0</v>
      </c>
      <c r="AH26" s="7">
        <f t="shared" si="14"/>
        <v>0</v>
      </c>
    </row>
    <row r="27" spans="1:34" s="7" customFormat="1" x14ac:dyDescent="0.3">
      <c r="A27" s="7">
        <v>46</v>
      </c>
      <c r="B27" s="7" t="s">
        <v>195</v>
      </c>
      <c r="C27" s="7" t="s">
        <v>144</v>
      </c>
      <c r="D27" s="7" t="s">
        <v>151</v>
      </c>
      <c r="E27" s="7">
        <v>739000</v>
      </c>
      <c r="F27" s="7">
        <v>373000</v>
      </c>
      <c r="G27" s="7">
        <v>33185446.251572389</v>
      </c>
      <c r="H27" s="7">
        <v>10</v>
      </c>
      <c r="I27" s="7">
        <v>10</v>
      </c>
      <c r="J27" s="7">
        <v>0</v>
      </c>
      <c r="K27" s="7">
        <v>0</v>
      </c>
      <c r="L27" s="7">
        <v>0</v>
      </c>
      <c r="M27" s="7">
        <v>0</v>
      </c>
      <c r="N27" s="7">
        <v>500000</v>
      </c>
      <c r="O27" s="7">
        <v>514000</v>
      </c>
      <c r="P27" s="7">
        <v>12436808.8666503</v>
      </c>
      <c r="Q27" s="7">
        <v>3067.3261700889102</v>
      </c>
      <c r="R27" s="7">
        <v>0</v>
      </c>
      <c r="S27" s="7">
        <v>0</v>
      </c>
      <c r="T27" s="7">
        <v>160351106.0825884</v>
      </c>
      <c r="U27" s="7">
        <v>846024298.4018122</v>
      </c>
      <c r="V27" s="7">
        <v>0</v>
      </c>
      <c r="W27" s="7">
        <v>5075115075.9202547</v>
      </c>
      <c r="X27" s="7">
        <v>0</v>
      </c>
      <c r="Y27" s="7">
        <v>0</v>
      </c>
      <c r="Z27" s="7">
        <v>790000</v>
      </c>
      <c r="AA27" s="7">
        <v>17100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</row>
    <row r="28" spans="1:34" s="7" customFormat="1" x14ac:dyDescent="0.3">
      <c r="B28" s="7" t="s">
        <v>196</v>
      </c>
      <c r="C28" s="7" t="s">
        <v>144</v>
      </c>
      <c r="D28" s="7" t="s">
        <v>151</v>
      </c>
      <c r="E28" s="7">
        <f>E27/10</f>
        <v>73900</v>
      </c>
      <c r="F28" s="7">
        <f t="shared" ref="F28:U31" si="15">F27/10</f>
        <v>37300</v>
      </c>
      <c r="G28" s="7">
        <f t="shared" si="15"/>
        <v>3318544.6251572389</v>
      </c>
      <c r="H28" s="7">
        <f t="shared" si="15"/>
        <v>1</v>
      </c>
      <c r="I28" s="7">
        <f t="shared" si="15"/>
        <v>1</v>
      </c>
      <c r="J28" s="7">
        <f t="shared" si="15"/>
        <v>0</v>
      </c>
      <c r="K28" s="7">
        <f t="shared" si="15"/>
        <v>0</v>
      </c>
      <c r="L28" s="7">
        <f t="shared" si="15"/>
        <v>0</v>
      </c>
      <c r="M28" s="7">
        <f t="shared" si="15"/>
        <v>0</v>
      </c>
      <c r="N28" s="7">
        <f t="shared" si="15"/>
        <v>50000</v>
      </c>
      <c r="O28" s="7">
        <f t="shared" si="15"/>
        <v>51400</v>
      </c>
      <c r="P28" s="7">
        <f t="shared" si="15"/>
        <v>1243680.8866650299</v>
      </c>
      <c r="Q28" s="7">
        <v>0</v>
      </c>
      <c r="R28" s="7">
        <f t="shared" si="15"/>
        <v>0</v>
      </c>
      <c r="S28" s="7">
        <f t="shared" si="15"/>
        <v>0</v>
      </c>
      <c r="T28" s="7">
        <f t="shared" si="15"/>
        <v>16035110.60825884</v>
      </c>
      <c r="U28" s="7">
        <f t="shared" si="15"/>
        <v>84602429.840181217</v>
      </c>
      <c r="V28" s="7">
        <f t="shared" ref="V28:AH31" si="16">V27/10</f>
        <v>0</v>
      </c>
      <c r="W28" s="7">
        <f t="shared" si="16"/>
        <v>507511507.59202546</v>
      </c>
      <c r="X28" s="7">
        <f t="shared" si="16"/>
        <v>0</v>
      </c>
      <c r="Y28" s="7">
        <f t="shared" si="16"/>
        <v>0</v>
      </c>
      <c r="Z28" s="7">
        <f t="shared" si="16"/>
        <v>79000</v>
      </c>
      <c r="AA28" s="7">
        <v>0</v>
      </c>
      <c r="AB28" s="7">
        <f t="shared" si="16"/>
        <v>0</v>
      </c>
      <c r="AC28" s="7">
        <f t="shared" si="16"/>
        <v>0</v>
      </c>
      <c r="AD28" s="7">
        <f t="shared" si="16"/>
        <v>0</v>
      </c>
      <c r="AE28" s="7">
        <f t="shared" si="16"/>
        <v>0</v>
      </c>
      <c r="AF28" s="7">
        <f t="shared" si="16"/>
        <v>0</v>
      </c>
      <c r="AG28" s="7">
        <f t="shared" si="16"/>
        <v>0</v>
      </c>
      <c r="AH28" s="7">
        <f t="shared" si="16"/>
        <v>0</v>
      </c>
    </row>
    <row r="29" spans="1:34" s="7" customFormat="1" x14ac:dyDescent="0.3">
      <c r="B29" s="7" t="s">
        <v>197</v>
      </c>
      <c r="C29" s="7" t="s">
        <v>144</v>
      </c>
      <c r="D29" s="7" t="s">
        <v>151</v>
      </c>
      <c r="E29" s="7">
        <f t="shared" ref="E29:E31" si="17">E28/10</f>
        <v>7390</v>
      </c>
      <c r="F29" s="7">
        <f t="shared" si="15"/>
        <v>3730</v>
      </c>
      <c r="G29" s="7">
        <f t="shared" si="15"/>
        <v>331854.46251572389</v>
      </c>
      <c r="H29" s="7">
        <f t="shared" si="15"/>
        <v>0.1</v>
      </c>
      <c r="I29" s="7">
        <f t="shared" si="15"/>
        <v>0.1</v>
      </c>
      <c r="J29" s="7">
        <f t="shared" si="15"/>
        <v>0</v>
      </c>
      <c r="K29" s="7">
        <f t="shared" si="15"/>
        <v>0</v>
      </c>
      <c r="L29" s="7">
        <f t="shared" si="15"/>
        <v>0</v>
      </c>
      <c r="M29" s="7">
        <f t="shared" si="15"/>
        <v>0</v>
      </c>
      <c r="N29" s="7">
        <f t="shared" si="15"/>
        <v>5000</v>
      </c>
      <c r="O29" s="7">
        <f t="shared" si="15"/>
        <v>5140</v>
      </c>
      <c r="P29" s="7">
        <f t="shared" si="15"/>
        <v>124368.088666503</v>
      </c>
      <c r="Q29" s="7">
        <f t="shared" si="15"/>
        <v>0</v>
      </c>
      <c r="R29" s="7">
        <f t="shared" si="15"/>
        <v>0</v>
      </c>
      <c r="S29" s="7">
        <f t="shared" si="15"/>
        <v>0</v>
      </c>
      <c r="T29" s="7">
        <f t="shared" si="15"/>
        <v>1603511.0608258839</v>
      </c>
      <c r="U29" s="7">
        <f t="shared" si="15"/>
        <v>8460242.9840181209</v>
      </c>
      <c r="V29" s="7">
        <f t="shared" si="16"/>
        <v>0</v>
      </c>
      <c r="W29" s="7">
        <f t="shared" si="16"/>
        <v>50751150.759202547</v>
      </c>
      <c r="X29" s="7">
        <f t="shared" si="16"/>
        <v>0</v>
      </c>
      <c r="Y29" s="7">
        <f t="shared" si="16"/>
        <v>0</v>
      </c>
      <c r="Z29" s="7">
        <v>0</v>
      </c>
      <c r="AA29" s="7">
        <f t="shared" si="16"/>
        <v>0</v>
      </c>
      <c r="AB29" s="7">
        <f t="shared" si="16"/>
        <v>0</v>
      </c>
      <c r="AC29" s="7">
        <f t="shared" si="16"/>
        <v>0</v>
      </c>
      <c r="AD29" s="7">
        <f t="shared" si="16"/>
        <v>0</v>
      </c>
      <c r="AE29" s="7">
        <f t="shared" si="16"/>
        <v>0</v>
      </c>
      <c r="AF29" s="7">
        <f t="shared" si="16"/>
        <v>0</v>
      </c>
      <c r="AG29" s="7">
        <f t="shared" si="16"/>
        <v>0</v>
      </c>
      <c r="AH29" s="7">
        <f t="shared" si="16"/>
        <v>0</v>
      </c>
    </row>
    <row r="30" spans="1:34" s="7" customFormat="1" x14ac:dyDescent="0.3">
      <c r="B30" s="7" t="s">
        <v>198</v>
      </c>
      <c r="C30" s="7" t="s">
        <v>144</v>
      </c>
      <c r="D30" s="7" t="s">
        <v>151</v>
      </c>
      <c r="E30" s="7">
        <f t="shared" si="17"/>
        <v>739</v>
      </c>
      <c r="F30" s="7">
        <f t="shared" si="15"/>
        <v>373</v>
      </c>
      <c r="G30" s="7">
        <f t="shared" si="15"/>
        <v>33185.446251572386</v>
      </c>
      <c r="H30" s="7">
        <f t="shared" si="15"/>
        <v>0.01</v>
      </c>
      <c r="I30" s="7">
        <f t="shared" si="15"/>
        <v>0.01</v>
      </c>
      <c r="J30" s="7">
        <f t="shared" si="15"/>
        <v>0</v>
      </c>
      <c r="K30" s="7">
        <f t="shared" si="15"/>
        <v>0</v>
      </c>
      <c r="L30" s="7">
        <f t="shared" si="15"/>
        <v>0</v>
      </c>
      <c r="M30" s="7">
        <f t="shared" si="15"/>
        <v>0</v>
      </c>
      <c r="N30" s="7">
        <f t="shared" si="15"/>
        <v>500</v>
      </c>
      <c r="O30" s="7">
        <f t="shared" si="15"/>
        <v>514</v>
      </c>
      <c r="P30" s="7">
        <v>0</v>
      </c>
      <c r="Q30" s="7">
        <f t="shared" si="15"/>
        <v>0</v>
      </c>
      <c r="R30" s="7">
        <f t="shared" si="15"/>
        <v>0</v>
      </c>
      <c r="S30" s="7">
        <f t="shared" si="15"/>
        <v>0</v>
      </c>
      <c r="T30" s="7">
        <f t="shared" si="15"/>
        <v>160351.10608258838</v>
      </c>
      <c r="U30" s="7">
        <f t="shared" si="15"/>
        <v>846024.29840181209</v>
      </c>
      <c r="V30" s="7">
        <f t="shared" si="16"/>
        <v>0</v>
      </c>
      <c r="W30" s="7">
        <f t="shared" si="16"/>
        <v>5075115.0759202549</v>
      </c>
      <c r="X30" s="7">
        <f t="shared" si="16"/>
        <v>0</v>
      </c>
      <c r="Y30" s="7">
        <f t="shared" si="16"/>
        <v>0</v>
      </c>
      <c r="Z30" s="7">
        <f t="shared" si="16"/>
        <v>0</v>
      </c>
      <c r="AA30" s="7">
        <f t="shared" si="16"/>
        <v>0</v>
      </c>
      <c r="AB30" s="7">
        <f t="shared" si="16"/>
        <v>0</v>
      </c>
      <c r="AC30" s="7">
        <f t="shared" si="16"/>
        <v>0</v>
      </c>
      <c r="AD30" s="7">
        <f t="shared" si="16"/>
        <v>0</v>
      </c>
      <c r="AE30" s="7">
        <f t="shared" si="16"/>
        <v>0</v>
      </c>
      <c r="AF30" s="7">
        <f t="shared" si="16"/>
        <v>0</v>
      </c>
      <c r="AG30" s="7">
        <f t="shared" si="16"/>
        <v>0</v>
      </c>
      <c r="AH30" s="7">
        <f t="shared" si="16"/>
        <v>0</v>
      </c>
    </row>
    <row r="31" spans="1:34" s="7" customFormat="1" x14ac:dyDescent="0.3">
      <c r="B31" s="7" t="s">
        <v>199</v>
      </c>
      <c r="C31" s="7" t="s">
        <v>144</v>
      </c>
      <c r="D31" s="7" t="s">
        <v>151</v>
      </c>
      <c r="E31" s="7">
        <f t="shared" si="17"/>
        <v>73.900000000000006</v>
      </c>
      <c r="F31" s="7">
        <f t="shared" si="15"/>
        <v>37.299999999999997</v>
      </c>
      <c r="G31" s="7">
        <f t="shared" si="15"/>
        <v>3318.5446251572384</v>
      </c>
      <c r="H31" s="7">
        <f t="shared" si="15"/>
        <v>1E-3</v>
      </c>
      <c r="I31" s="7">
        <f t="shared" si="15"/>
        <v>1E-3</v>
      </c>
      <c r="J31" s="7">
        <f t="shared" si="15"/>
        <v>0</v>
      </c>
      <c r="K31" s="7">
        <f t="shared" si="15"/>
        <v>0</v>
      </c>
      <c r="L31" s="7">
        <f t="shared" si="15"/>
        <v>0</v>
      </c>
      <c r="M31" s="7">
        <f t="shared" si="15"/>
        <v>0</v>
      </c>
      <c r="N31" s="7">
        <f t="shared" si="15"/>
        <v>50</v>
      </c>
      <c r="O31" s="7">
        <f t="shared" si="15"/>
        <v>51.4</v>
      </c>
      <c r="P31" s="7">
        <f t="shared" si="15"/>
        <v>0</v>
      </c>
      <c r="Q31" s="7">
        <f t="shared" si="15"/>
        <v>0</v>
      </c>
      <c r="R31" s="7">
        <f t="shared" si="15"/>
        <v>0</v>
      </c>
      <c r="S31" s="7">
        <f t="shared" si="15"/>
        <v>0</v>
      </c>
      <c r="T31" s="7">
        <v>0</v>
      </c>
      <c r="U31" s="7">
        <f t="shared" si="15"/>
        <v>84602.429840181212</v>
      </c>
      <c r="V31" s="7">
        <f t="shared" si="16"/>
        <v>0</v>
      </c>
      <c r="W31" s="7">
        <f t="shared" si="16"/>
        <v>507511.5075920255</v>
      </c>
      <c r="X31" s="7">
        <f t="shared" si="16"/>
        <v>0</v>
      </c>
      <c r="Y31" s="7">
        <f t="shared" si="16"/>
        <v>0</v>
      </c>
      <c r="Z31" s="7">
        <f t="shared" si="16"/>
        <v>0</v>
      </c>
      <c r="AA31" s="7">
        <f t="shared" si="16"/>
        <v>0</v>
      </c>
      <c r="AB31" s="7">
        <f t="shared" si="16"/>
        <v>0</v>
      </c>
      <c r="AC31" s="7">
        <f t="shared" si="16"/>
        <v>0</v>
      </c>
      <c r="AD31" s="7">
        <f t="shared" si="16"/>
        <v>0</v>
      </c>
      <c r="AE31" s="7">
        <f t="shared" si="16"/>
        <v>0</v>
      </c>
      <c r="AF31" s="7">
        <f t="shared" si="16"/>
        <v>0</v>
      </c>
      <c r="AG31" s="7">
        <f t="shared" si="16"/>
        <v>0</v>
      </c>
      <c r="AH31" s="7">
        <f t="shared" si="16"/>
        <v>0</v>
      </c>
    </row>
    <row r="32" spans="1:34" s="7" customFormat="1" x14ac:dyDescent="0.3">
      <c r="A32" s="7">
        <v>54</v>
      </c>
      <c r="B32" s="7" t="s">
        <v>200</v>
      </c>
      <c r="C32" s="7" t="s">
        <v>145</v>
      </c>
      <c r="D32" s="7" t="s">
        <v>151</v>
      </c>
      <c r="E32" s="7">
        <v>300000</v>
      </c>
      <c r="F32" s="7">
        <v>600000</v>
      </c>
      <c r="G32" s="7">
        <v>261114790.93028799</v>
      </c>
      <c r="H32" s="7">
        <v>13900</v>
      </c>
      <c r="I32" s="7">
        <v>255000</v>
      </c>
      <c r="J32" s="7">
        <v>0</v>
      </c>
      <c r="K32" s="7">
        <v>0</v>
      </c>
      <c r="L32" s="7">
        <v>240</v>
      </c>
      <c r="M32" s="7">
        <v>0</v>
      </c>
      <c r="N32" s="7">
        <v>75000</v>
      </c>
      <c r="O32" s="7">
        <v>570000</v>
      </c>
      <c r="P32" s="7">
        <v>0</v>
      </c>
      <c r="Q32" s="7">
        <v>0</v>
      </c>
      <c r="R32" s="7">
        <v>0</v>
      </c>
      <c r="S32" s="7">
        <v>0</v>
      </c>
      <c r="T32" s="7">
        <v>30100725.272836868</v>
      </c>
      <c r="U32" s="7">
        <v>0</v>
      </c>
      <c r="V32" s="7">
        <v>197268982.33824801</v>
      </c>
      <c r="W32" s="7">
        <v>27096872302.710419</v>
      </c>
      <c r="X32" s="7">
        <v>370.80668818132176</v>
      </c>
      <c r="Y32" s="7">
        <v>19600</v>
      </c>
      <c r="Z32" s="7">
        <v>0</v>
      </c>
      <c r="AA32" s="7">
        <v>574000</v>
      </c>
      <c r="AB32" s="7">
        <v>614000</v>
      </c>
      <c r="AC32" s="7">
        <v>0</v>
      </c>
      <c r="AD32" s="7">
        <v>0</v>
      </c>
      <c r="AE32" s="7">
        <v>0</v>
      </c>
      <c r="AF32" s="7">
        <v>170</v>
      </c>
      <c r="AG32" s="7">
        <v>0</v>
      </c>
      <c r="AH32" s="7">
        <v>45200</v>
      </c>
    </row>
    <row r="33" spans="1:34" s="7" customFormat="1" x14ac:dyDescent="0.3">
      <c r="B33" s="7" t="s">
        <v>201</v>
      </c>
      <c r="C33" s="7" t="s">
        <v>145</v>
      </c>
      <c r="D33" s="7" t="s">
        <v>151</v>
      </c>
      <c r="E33" s="7">
        <f>E32/10</f>
        <v>30000</v>
      </c>
      <c r="F33" s="7">
        <f>F32/10</f>
        <v>60000</v>
      </c>
      <c r="G33" s="7">
        <f>G32/10</f>
        <v>26111479.093028799</v>
      </c>
      <c r="H33" s="7">
        <f>H32/10</f>
        <v>1390</v>
      </c>
      <c r="I33" s="7">
        <f>I32/10</f>
        <v>25500</v>
      </c>
      <c r="J33" s="7">
        <f>J32/10</f>
        <v>0</v>
      </c>
      <c r="K33" s="7">
        <f>K32/10</f>
        <v>0</v>
      </c>
      <c r="L33" s="7">
        <f>L32/10</f>
        <v>24</v>
      </c>
      <c r="M33" s="7">
        <f t="shared" ref="M33:AB36" si="18">M32/10</f>
        <v>0</v>
      </c>
      <c r="N33" s="7">
        <f t="shared" si="18"/>
        <v>7500</v>
      </c>
      <c r="O33" s="7">
        <f t="shared" si="18"/>
        <v>57000</v>
      </c>
      <c r="P33" s="7">
        <f t="shared" si="18"/>
        <v>0</v>
      </c>
      <c r="Q33" s="7">
        <f t="shared" si="18"/>
        <v>0</v>
      </c>
      <c r="R33" s="7">
        <f t="shared" si="18"/>
        <v>0</v>
      </c>
      <c r="S33" s="7">
        <f t="shared" si="18"/>
        <v>0</v>
      </c>
      <c r="T33" s="7">
        <f t="shared" si="18"/>
        <v>3010072.5272836867</v>
      </c>
      <c r="U33" s="7">
        <f t="shared" si="18"/>
        <v>0</v>
      </c>
      <c r="V33" s="7">
        <f t="shared" si="18"/>
        <v>19726898.233824801</v>
      </c>
      <c r="W33" s="7">
        <f t="shared" si="18"/>
        <v>2709687230.2710419</v>
      </c>
      <c r="X33" s="7">
        <v>0</v>
      </c>
      <c r="Y33" s="7">
        <v>0</v>
      </c>
      <c r="Z33" s="7">
        <f t="shared" si="18"/>
        <v>0</v>
      </c>
      <c r="AA33" s="7">
        <f t="shared" si="18"/>
        <v>57400</v>
      </c>
      <c r="AB33" s="7">
        <f t="shared" si="18"/>
        <v>61400</v>
      </c>
      <c r="AC33" s="7">
        <f t="shared" ref="AC33:AH36" si="19">AC32/10</f>
        <v>0</v>
      </c>
      <c r="AD33" s="7">
        <f t="shared" si="19"/>
        <v>0</v>
      </c>
      <c r="AE33" s="7">
        <f t="shared" si="19"/>
        <v>0</v>
      </c>
      <c r="AF33" s="7">
        <v>0</v>
      </c>
      <c r="AG33" s="7">
        <f t="shared" si="19"/>
        <v>0</v>
      </c>
      <c r="AH33" s="7">
        <f t="shared" si="19"/>
        <v>4520</v>
      </c>
    </row>
    <row r="34" spans="1:34" s="7" customFormat="1" x14ac:dyDescent="0.3">
      <c r="B34" s="7" t="s">
        <v>202</v>
      </c>
      <c r="C34" s="7" t="s">
        <v>145</v>
      </c>
      <c r="D34" s="7" t="s">
        <v>151</v>
      </c>
      <c r="E34" s="7">
        <f t="shared" ref="E34:L36" si="20">E33/10</f>
        <v>3000</v>
      </c>
      <c r="F34" s="7">
        <f t="shared" si="20"/>
        <v>6000</v>
      </c>
      <c r="G34" s="7">
        <f t="shared" si="20"/>
        <v>2611147.9093028801</v>
      </c>
      <c r="H34" s="7">
        <f t="shared" si="20"/>
        <v>139</v>
      </c>
      <c r="I34" s="7">
        <f t="shared" si="20"/>
        <v>2550</v>
      </c>
      <c r="J34" s="7">
        <f t="shared" si="20"/>
        <v>0</v>
      </c>
      <c r="K34" s="7">
        <f t="shared" si="20"/>
        <v>0</v>
      </c>
      <c r="L34" s="7">
        <v>0</v>
      </c>
      <c r="M34" s="7">
        <f t="shared" si="18"/>
        <v>0</v>
      </c>
      <c r="N34" s="7">
        <f t="shared" si="18"/>
        <v>750</v>
      </c>
      <c r="O34" s="7">
        <f t="shared" si="18"/>
        <v>5700</v>
      </c>
      <c r="P34" s="7">
        <f t="shared" si="18"/>
        <v>0</v>
      </c>
      <c r="Q34" s="7">
        <f t="shared" si="18"/>
        <v>0</v>
      </c>
      <c r="R34" s="7">
        <f t="shared" si="18"/>
        <v>0</v>
      </c>
      <c r="S34" s="7">
        <f t="shared" si="18"/>
        <v>0</v>
      </c>
      <c r="T34" s="7">
        <f t="shared" si="18"/>
        <v>301007.25272836868</v>
      </c>
      <c r="U34" s="7">
        <f t="shared" si="18"/>
        <v>0</v>
      </c>
      <c r="V34" s="7">
        <f t="shared" si="18"/>
        <v>1972689.8233824801</v>
      </c>
      <c r="W34" s="7">
        <f t="shared" si="18"/>
        <v>270968723.0271042</v>
      </c>
      <c r="X34" s="7">
        <f t="shared" si="18"/>
        <v>0</v>
      </c>
      <c r="Y34" s="7">
        <f t="shared" si="18"/>
        <v>0</v>
      </c>
      <c r="Z34" s="7">
        <f t="shared" si="18"/>
        <v>0</v>
      </c>
      <c r="AA34" s="7">
        <v>0</v>
      </c>
      <c r="AB34" s="7">
        <v>0</v>
      </c>
      <c r="AC34" s="7">
        <f t="shared" si="19"/>
        <v>0</v>
      </c>
      <c r="AD34" s="7">
        <f t="shared" si="19"/>
        <v>0</v>
      </c>
      <c r="AE34" s="7">
        <f t="shared" si="19"/>
        <v>0</v>
      </c>
      <c r="AF34" s="7">
        <v>0</v>
      </c>
      <c r="AG34" s="7">
        <f t="shared" si="19"/>
        <v>0</v>
      </c>
      <c r="AH34" s="7">
        <v>0</v>
      </c>
    </row>
    <row r="35" spans="1:34" s="7" customFormat="1" x14ac:dyDescent="0.3">
      <c r="B35" s="7" t="s">
        <v>203</v>
      </c>
      <c r="C35" s="7" t="s">
        <v>145</v>
      </c>
      <c r="D35" s="7" t="s">
        <v>151</v>
      </c>
      <c r="E35" s="7">
        <f t="shared" si="20"/>
        <v>300</v>
      </c>
      <c r="F35" s="7">
        <f t="shared" si="20"/>
        <v>600</v>
      </c>
      <c r="G35" s="7">
        <f t="shared" si="20"/>
        <v>261114.790930288</v>
      </c>
      <c r="H35" s="7">
        <f t="shared" si="20"/>
        <v>13.9</v>
      </c>
      <c r="I35" s="7">
        <f t="shared" si="20"/>
        <v>255</v>
      </c>
      <c r="J35" s="7">
        <f t="shared" si="20"/>
        <v>0</v>
      </c>
      <c r="K35" s="7">
        <f t="shared" si="20"/>
        <v>0</v>
      </c>
      <c r="L35" s="7">
        <f t="shared" si="20"/>
        <v>0</v>
      </c>
      <c r="M35" s="7">
        <f t="shared" si="18"/>
        <v>0</v>
      </c>
      <c r="N35" s="7">
        <f t="shared" si="18"/>
        <v>75</v>
      </c>
      <c r="O35" s="7">
        <f t="shared" si="18"/>
        <v>570</v>
      </c>
      <c r="P35" s="7">
        <f t="shared" si="18"/>
        <v>0</v>
      </c>
      <c r="Q35" s="7">
        <f t="shared" si="18"/>
        <v>0</v>
      </c>
      <c r="R35" s="7">
        <f t="shared" si="18"/>
        <v>0</v>
      </c>
      <c r="S35" s="7">
        <f t="shared" si="18"/>
        <v>0</v>
      </c>
      <c r="T35" s="7">
        <v>0</v>
      </c>
      <c r="U35" s="7">
        <f t="shared" si="18"/>
        <v>0</v>
      </c>
      <c r="V35" s="7">
        <f t="shared" si="18"/>
        <v>197268.982338248</v>
      </c>
      <c r="W35" s="7">
        <f t="shared" si="18"/>
        <v>27096872.302710421</v>
      </c>
      <c r="X35" s="7">
        <f t="shared" si="18"/>
        <v>0</v>
      </c>
      <c r="Y35" s="7">
        <f t="shared" si="18"/>
        <v>0</v>
      </c>
      <c r="Z35" s="7">
        <f t="shared" si="18"/>
        <v>0</v>
      </c>
      <c r="AA35" s="7">
        <f t="shared" si="18"/>
        <v>0</v>
      </c>
      <c r="AB35" s="7">
        <f t="shared" si="18"/>
        <v>0</v>
      </c>
      <c r="AC35" s="7">
        <f t="shared" si="19"/>
        <v>0</v>
      </c>
      <c r="AD35" s="7">
        <f t="shared" si="19"/>
        <v>0</v>
      </c>
      <c r="AE35" s="7">
        <f t="shared" si="19"/>
        <v>0</v>
      </c>
      <c r="AF35" s="7">
        <f t="shared" si="19"/>
        <v>0</v>
      </c>
      <c r="AG35" s="7">
        <f t="shared" si="19"/>
        <v>0</v>
      </c>
      <c r="AH35" s="7">
        <f t="shared" si="19"/>
        <v>0</v>
      </c>
    </row>
    <row r="36" spans="1:34" s="7" customFormat="1" x14ac:dyDescent="0.3">
      <c r="B36" s="7" t="s">
        <v>204</v>
      </c>
      <c r="C36" s="7" t="s">
        <v>145</v>
      </c>
      <c r="D36" s="7" t="s">
        <v>151</v>
      </c>
      <c r="E36" s="7">
        <f t="shared" si="20"/>
        <v>30</v>
      </c>
      <c r="F36" s="7">
        <f t="shared" si="20"/>
        <v>60</v>
      </c>
      <c r="G36" s="7">
        <f t="shared" si="20"/>
        <v>26111.4790930288</v>
      </c>
      <c r="H36" s="7">
        <f t="shared" si="20"/>
        <v>1.3900000000000001</v>
      </c>
      <c r="I36" s="7">
        <f t="shared" si="20"/>
        <v>25.5</v>
      </c>
      <c r="J36" s="7">
        <f t="shared" si="20"/>
        <v>0</v>
      </c>
      <c r="K36" s="7">
        <f t="shared" si="20"/>
        <v>0</v>
      </c>
      <c r="L36" s="7">
        <f t="shared" si="20"/>
        <v>0</v>
      </c>
      <c r="M36" s="7">
        <f t="shared" si="18"/>
        <v>0</v>
      </c>
      <c r="N36" s="7">
        <v>0</v>
      </c>
      <c r="O36" s="7">
        <f t="shared" si="18"/>
        <v>57</v>
      </c>
      <c r="P36" s="7">
        <f t="shared" si="18"/>
        <v>0</v>
      </c>
      <c r="Q36" s="7">
        <f t="shared" si="18"/>
        <v>0</v>
      </c>
      <c r="R36" s="7">
        <f t="shared" si="18"/>
        <v>0</v>
      </c>
      <c r="S36" s="7">
        <f t="shared" si="18"/>
        <v>0</v>
      </c>
      <c r="T36" s="7">
        <f t="shared" si="18"/>
        <v>0</v>
      </c>
      <c r="U36" s="7">
        <f t="shared" si="18"/>
        <v>0</v>
      </c>
      <c r="V36" s="7">
        <f t="shared" si="18"/>
        <v>19726.898233824799</v>
      </c>
      <c r="W36" s="7">
        <f t="shared" si="18"/>
        <v>2709687.2302710423</v>
      </c>
      <c r="X36" s="7">
        <f t="shared" si="18"/>
        <v>0</v>
      </c>
      <c r="Y36" s="7">
        <f t="shared" si="18"/>
        <v>0</v>
      </c>
      <c r="Z36" s="7">
        <f t="shared" si="18"/>
        <v>0</v>
      </c>
      <c r="AA36" s="7">
        <f t="shared" si="18"/>
        <v>0</v>
      </c>
      <c r="AB36" s="7">
        <f t="shared" si="18"/>
        <v>0</v>
      </c>
      <c r="AC36" s="7">
        <f t="shared" si="19"/>
        <v>0</v>
      </c>
      <c r="AD36" s="7">
        <f t="shared" si="19"/>
        <v>0</v>
      </c>
      <c r="AE36" s="7">
        <f t="shared" si="19"/>
        <v>0</v>
      </c>
      <c r="AF36" s="7">
        <f t="shared" si="19"/>
        <v>0</v>
      </c>
      <c r="AG36" s="7">
        <f t="shared" si="19"/>
        <v>0</v>
      </c>
      <c r="AH36" s="7">
        <f t="shared" si="19"/>
        <v>0</v>
      </c>
    </row>
    <row r="37" spans="1:34" s="7" customFormat="1" x14ac:dyDescent="0.3">
      <c r="A37" s="7">
        <v>64</v>
      </c>
      <c r="B37" s="7" t="s">
        <v>205</v>
      </c>
      <c r="C37" s="7" t="s">
        <v>144</v>
      </c>
      <c r="D37" s="7" t="s">
        <v>151</v>
      </c>
      <c r="E37" s="7">
        <v>185000</v>
      </c>
      <c r="F37" s="7">
        <v>27000</v>
      </c>
      <c r="G37" s="7">
        <v>229796254.62274706</v>
      </c>
      <c r="H37" s="7">
        <v>1765</v>
      </c>
      <c r="I37" s="7">
        <v>52500</v>
      </c>
      <c r="J37" s="7">
        <v>0</v>
      </c>
      <c r="K37" s="7">
        <v>0</v>
      </c>
      <c r="L37" s="7">
        <v>0</v>
      </c>
      <c r="M37" s="7">
        <v>0</v>
      </c>
      <c r="N37" s="7">
        <v>6500000</v>
      </c>
      <c r="O37" s="7">
        <v>9500000</v>
      </c>
      <c r="P37" s="7">
        <v>0</v>
      </c>
      <c r="Q37" s="7">
        <v>12850000</v>
      </c>
      <c r="R37" s="7">
        <v>0</v>
      </c>
      <c r="S37" s="7">
        <v>0</v>
      </c>
      <c r="T37" s="7">
        <v>43779113.183444329</v>
      </c>
      <c r="U37" s="7">
        <v>265686875.07816416</v>
      </c>
      <c r="V37" s="7">
        <v>0</v>
      </c>
      <c r="W37" s="7">
        <v>2977297688.1022401</v>
      </c>
      <c r="X37" s="7">
        <v>0</v>
      </c>
      <c r="Y37" s="7">
        <v>0</v>
      </c>
      <c r="Z37" s="7">
        <v>2500000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</row>
    <row r="38" spans="1:34" s="7" customFormat="1" x14ac:dyDescent="0.3">
      <c r="B38" s="7" t="s">
        <v>206</v>
      </c>
      <c r="C38" s="7" t="s">
        <v>144</v>
      </c>
      <c r="D38" s="7" t="s">
        <v>151</v>
      </c>
      <c r="E38" s="7">
        <f>E37/10</f>
        <v>18500</v>
      </c>
      <c r="F38" s="7">
        <f t="shared" ref="F38:U41" si="21">F37/10</f>
        <v>2700</v>
      </c>
      <c r="G38" s="7">
        <f t="shared" si="21"/>
        <v>22979625.462274708</v>
      </c>
      <c r="H38" s="7">
        <f t="shared" si="21"/>
        <v>176.5</v>
      </c>
      <c r="I38" s="7">
        <f t="shared" si="21"/>
        <v>5250</v>
      </c>
      <c r="J38" s="7">
        <f t="shared" si="21"/>
        <v>0</v>
      </c>
      <c r="K38" s="7">
        <f t="shared" si="21"/>
        <v>0</v>
      </c>
      <c r="L38" s="7">
        <f t="shared" si="21"/>
        <v>0</v>
      </c>
      <c r="M38" s="7">
        <f t="shared" si="21"/>
        <v>0</v>
      </c>
      <c r="N38" s="7">
        <f t="shared" si="21"/>
        <v>650000</v>
      </c>
      <c r="O38" s="7">
        <f t="shared" si="21"/>
        <v>950000</v>
      </c>
      <c r="P38" s="7">
        <f t="shared" si="21"/>
        <v>0</v>
      </c>
      <c r="Q38" s="7">
        <f t="shared" si="21"/>
        <v>1285000</v>
      </c>
      <c r="R38" s="7">
        <f t="shared" si="21"/>
        <v>0</v>
      </c>
      <c r="S38" s="7">
        <f t="shared" si="21"/>
        <v>0</v>
      </c>
      <c r="T38" s="7">
        <f t="shared" si="21"/>
        <v>4377911.3183444329</v>
      </c>
      <c r="U38" s="7">
        <f t="shared" si="21"/>
        <v>26568687.507816415</v>
      </c>
      <c r="V38" s="7">
        <f t="shared" ref="V38:AH41" si="22">V37/10</f>
        <v>0</v>
      </c>
      <c r="W38" s="7">
        <f t="shared" si="22"/>
        <v>297729768.810224</v>
      </c>
      <c r="X38" s="7">
        <f t="shared" si="22"/>
        <v>0</v>
      </c>
      <c r="Y38" s="7">
        <f t="shared" si="22"/>
        <v>0</v>
      </c>
      <c r="Z38" s="7">
        <f t="shared" si="22"/>
        <v>250000</v>
      </c>
      <c r="AA38" s="7">
        <f t="shared" si="22"/>
        <v>0</v>
      </c>
      <c r="AB38" s="7">
        <f t="shared" si="22"/>
        <v>0</v>
      </c>
      <c r="AC38" s="7">
        <f t="shared" si="22"/>
        <v>0</v>
      </c>
      <c r="AD38" s="7">
        <f t="shared" si="22"/>
        <v>0</v>
      </c>
      <c r="AE38" s="7">
        <f t="shared" si="22"/>
        <v>0</v>
      </c>
      <c r="AF38" s="7">
        <f t="shared" si="22"/>
        <v>0</v>
      </c>
      <c r="AG38" s="7">
        <f t="shared" si="22"/>
        <v>0</v>
      </c>
      <c r="AH38" s="7">
        <f t="shared" si="22"/>
        <v>0</v>
      </c>
    </row>
    <row r="39" spans="1:34" s="7" customFormat="1" x14ac:dyDescent="0.3">
      <c r="B39" s="7" t="s">
        <v>207</v>
      </c>
      <c r="C39" s="7" t="s">
        <v>144</v>
      </c>
      <c r="D39" s="7" t="s">
        <v>151</v>
      </c>
      <c r="E39" s="7">
        <f t="shared" ref="E39:E41" si="23">E38/10</f>
        <v>1850</v>
      </c>
      <c r="F39" s="7">
        <f t="shared" si="21"/>
        <v>270</v>
      </c>
      <c r="G39" s="7">
        <f t="shared" si="21"/>
        <v>2297962.546227471</v>
      </c>
      <c r="H39" s="7">
        <f t="shared" si="21"/>
        <v>17.649999999999999</v>
      </c>
      <c r="I39" s="7">
        <f t="shared" si="21"/>
        <v>525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0</v>
      </c>
      <c r="N39" s="7">
        <f t="shared" si="21"/>
        <v>65000</v>
      </c>
      <c r="O39" s="7">
        <f t="shared" si="21"/>
        <v>95000</v>
      </c>
      <c r="P39" s="7">
        <f t="shared" si="21"/>
        <v>0</v>
      </c>
      <c r="Q39" s="7">
        <f t="shared" si="21"/>
        <v>128500</v>
      </c>
      <c r="R39" s="7">
        <f t="shared" si="21"/>
        <v>0</v>
      </c>
      <c r="S39" s="7">
        <f t="shared" si="21"/>
        <v>0</v>
      </c>
      <c r="T39" s="7">
        <f t="shared" si="21"/>
        <v>437791.13183444331</v>
      </c>
      <c r="U39" s="7">
        <f t="shared" si="21"/>
        <v>2656868.7507816413</v>
      </c>
      <c r="V39" s="7">
        <f t="shared" si="22"/>
        <v>0</v>
      </c>
      <c r="W39" s="7">
        <f t="shared" si="22"/>
        <v>29772976.881022401</v>
      </c>
      <c r="X39" s="7">
        <f t="shared" si="22"/>
        <v>0</v>
      </c>
      <c r="Y39" s="7">
        <f t="shared" si="22"/>
        <v>0</v>
      </c>
      <c r="Z39" s="7">
        <f t="shared" si="22"/>
        <v>25000</v>
      </c>
      <c r="AA39" s="7">
        <f t="shared" si="22"/>
        <v>0</v>
      </c>
      <c r="AB39" s="7">
        <f t="shared" si="22"/>
        <v>0</v>
      </c>
      <c r="AC39" s="7">
        <f t="shared" si="22"/>
        <v>0</v>
      </c>
      <c r="AD39" s="7">
        <f t="shared" si="22"/>
        <v>0</v>
      </c>
      <c r="AE39" s="7">
        <f t="shared" si="22"/>
        <v>0</v>
      </c>
      <c r="AF39" s="7">
        <f t="shared" si="22"/>
        <v>0</v>
      </c>
      <c r="AG39" s="7">
        <f t="shared" si="22"/>
        <v>0</v>
      </c>
      <c r="AH39" s="7">
        <f t="shared" si="22"/>
        <v>0</v>
      </c>
    </row>
    <row r="40" spans="1:34" s="7" customFormat="1" x14ac:dyDescent="0.3">
      <c r="B40" s="7" t="s">
        <v>208</v>
      </c>
      <c r="C40" s="7" t="s">
        <v>144</v>
      </c>
      <c r="D40" s="7" t="s">
        <v>151</v>
      </c>
      <c r="E40" s="7">
        <f t="shared" si="23"/>
        <v>185</v>
      </c>
      <c r="F40" s="7">
        <f t="shared" si="21"/>
        <v>27</v>
      </c>
      <c r="G40" s="7">
        <f t="shared" si="21"/>
        <v>229796.2546227471</v>
      </c>
      <c r="H40" s="7">
        <f t="shared" si="21"/>
        <v>1.7649999999999999</v>
      </c>
      <c r="I40" s="7">
        <f t="shared" si="21"/>
        <v>52.5</v>
      </c>
      <c r="J40" s="7">
        <f t="shared" si="21"/>
        <v>0</v>
      </c>
      <c r="K40" s="7">
        <f t="shared" si="21"/>
        <v>0</v>
      </c>
      <c r="L40" s="7">
        <f t="shared" si="21"/>
        <v>0</v>
      </c>
      <c r="M40" s="7">
        <f t="shared" si="21"/>
        <v>0</v>
      </c>
      <c r="N40" s="7">
        <f t="shared" si="21"/>
        <v>6500</v>
      </c>
      <c r="O40" s="7">
        <f t="shared" si="21"/>
        <v>9500</v>
      </c>
      <c r="P40" s="7">
        <f t="shared" si="21"/>
        <v>0</v>
      </c>
      <c r="Q40" s="7">
        <v>0</v>
      </c>
      <c r="R40" s="7">
        <f t="shared" si="21"/>
        <v>0</v>
      </c>
      <c r="S40" s="7">
        <f t="shared" si="21"/>
        <v>0</v>
      </c>
      <c r="T40" s="7">
        <v>0</v>
      </c>
      <c r="U40" s="7">
        <f t="shared" si="21"/>
        <v>265686.87507816416</v>
      </c>
      <c r="V40" s="7">
        <f t="shared" si="22"/>
        <v>0</v>
      </c>
      <c r="W40" s="7">
        <f t="shared" si="22"/>
        <v>2977297.6881022402</v>
      </c>
      <c r="X40" s="7">
        <f t="shared" si="22"/>
        <v>0</v>
      </c>
      <c r="Y40" s="7">
        <f t="shared" si="22"/>
        <v>0</v>
      </c>
      <c r="Z40" s="7">
        <v>0</v>
      </c>
      <c r="AA40" s="7">
        <f t="shared" si="22"/>
        <v>0</v>
      </c>
      <c r="AB40" s="7">
        <f t="shared" si="22"/>
        <v>0</v>
      </c>
      <c r="AC40" s="7">
        <f t="shared" si="22"/>
        <v>0</v>
      </c>
      <c r="AD40" s="7">
        <f t="shared" si="22"/>
        <v>0</v>
      </c>
      <c r="AE40" s="7">
        <f t="shared" si="22"/>
        <v>0</v>
      </c>
      <c r="AF40" s="7">
        <f t="shared" si="22"/>
        <v>0</v>
      </c>
      <c r="AG40" s="7">
        <f t="shared" si="22"/>
        <v>0</v>
      </c>
      <c r="AH40" s="7">
        <f t="shared" si="22"/>
        <v>0</v>
      </c>
    </row>
    <row r="41" spans="1:34" s="7" customFormat="1" x14ac:dyDescent="0.3">
      <c r="B41" s="7" t="s">
        <v>209</v>
      </c>
      <c r="C41" s="7" t="s">
        <v>144</v>
      </c>
      <c r="D41" s="7" t="s">
        <v>151</v>
      </c>
      <c r="E41" s="7">
        <f t="shared" si="23"/>
        <v>18.5</v>
      </c>
      <c r="F41" s="7">
        <f t="shared" si="21"/>
        <v>2.7</v>
      </c>
      <c r="G41" s="7">
        <f t="shared" si="21"/>
        <v>22979.625462274711</v>
      </c>
      <c r="H41" s="7">
        <v>0</v>
      </c>
      <c r="I41" s="7">
        <f t="shared" si="21"/>
        <v>5.25</v>
      </c>
      <c r="J41" s="7">
        <f t="shared" si="21"/>
        <v>0</v>
      </c>
      <c r="K41" s="7">
        <f t="shared" si="21"/>
        <v>0</v>
      </c>
      <c r="L41" s="7">
        <f t="shared" si="21"/>
        <v>0</v>
      </c>
      <c r="M41" s="7">
        <f t="shared" si="21"/>
        <v>0</v>
      </c>
      <c r="N41" s="7">
        <f t="shared" si="21"/>
        <v>650</v>
      </c>
      <c r="O41" s="7">
        <f t="shared" si="21"/>
        <v>950</v>
      </c>
      <c r="P41" s="7">
        <f t="shared" si="21"/>
        <v>0</v>
      </c>
      <c r="Q41" s="7">
        <f t="shared" si="21"/>
        <v>0</v>
      </c>
      <c r="R41" s="7">
        <f t="shared" si="21"/>
        <v>0</v>
      </c>
      <c r="S41" s="7">
        <f t="shared" si="21"/>
        <v>0</v>
      </c>
      <c r="T41" s="7">
        <f t="shared" si="21"/>
        <v>0</v>
      </c>
      <c r="U41" s="7">
        <f t="shared" si="21"/>
        <v>26568.687507816416</v>
      </c>
      <c r="V41" s="7">
        <f t="shared" si="22"/>
        <v>0</v>
      </c>
      <c r="W41" s="7">
        <f t="shared" si="22"/>
        <v>297729.76881022402</v>
      </c>
      <c r="X41" s="7">
        <f t="shared" si="22"/>
        <v>0</v>
      </c>
      <c r="Y41" s="7">
        <f t="shared" si="22"/>
        <v>0</v>
      </c>
      <c r="Z41" s="7">
        <f t="shared" si="22"/>
        <v>0</v>
      </c>
      <c r="AA41" s="7">
        <f t="shared" si="22"/>
        <v>0</v>
      </c>
      <c r="AB41" s="7">
        <f t="shared" si="22"/>
        <v>0</v>
      </c>
      <c r="AC41" s="7">
        <f t="shared" si="22"/>
        <v>0</v>
      </c>
      <c r="AD41" s="7">
        <f t="shared" si="22"/>
        <v>0</v>
      </c>
      <c r="AE41" s="7">
        <f t="shared" si="22"/>
        <v>0</v>
      </c>
      <c r="AF41" s="7">
        <f t="shared" si="22"/>
        <v>0</v>
      </c>
      <c r="AG41" s="7">
        <f t="shared" si="22"/>
        <v>0</v>
      </c>
      <c r="AH41" s="7">
        <f t="shared" si="22"/>
        <v>0</v>
      </c>
    </row>
    <row r="42" spans="1:34" s="7" customFormat="1" x14ac:dyDescent="0.3">
      <c r="A42" s="7">
        <v>67</v>
      </c>
      <c r="B42" s="7" t="s">
        <v>210</v>
      </c>
      <c r="C42" s="7" t="s">
        <v>147</v>
      </c>
      <c r="D42" s="7" t="s">
        <v>151</v>
      </c>
      <c r="E42" s="7">
        <v>362500000</v>
      </c>
      <c r="F42" s="7">
        <v>51000000</v>
      </c>
      <c r="G42" s="7">
        <v>720835531.45536435</v>
      </c>
      <c r="H42" s="7">
        <v>12400</v>
      </c>
      <c r="I42" s="7">
        <v>770000000</v>
      </c>
      <c r="J42" s="7">
        <v>0</v>
      </c>
      <c r="K42" s="7">
        <v>0</v>
      </c>
      <c r="L42" s="7">
        <v>0</v>
      </c>
      <c r="M42" s="7">
        <v>80.952380952380949</v>
      </c>
      <c r="N42" s="7">
        <v>1050000</v>
      </c>
      <c r="O42" s="7">
        <v>17500000</v>
      </c>
      <c r="P42" s="7">
        <v>0</v>
      </c>
      <c r="Q42" s="7">
        <v>0</v>
      </c>
      <c r="R42" s="7">
        <v>0</v>
      </c>
      <c r="S42" s="7">
        <v>33052320.852907799</v>
      </c>
      <c r="T42" s="7">
        <v>96266894.049740851</v>
      </c>
      <c r="U42" s="7">
        <v>0</v>
      </c>
      <c r="V42" s="7">
        <v>0</v>
      </c>
      <c r="W42" s="7">
        <v>6665663641.2159748</v>
      </c>
      <c r="X42" s="7">
        <v>11249258.135160863</v>
      </c>
      <c r="Y42" s="7">
        <v>0</v>
      </c>
      <c r="Z42" s="7">
        <v>0</v>
      </c>
      <c r="AA42" s="7">
        <v>0</v>
      </c>
      <c r="AB42" s="7">
        <v>737000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</row>
    <row r="43" spans="1:34" s="7" customFormat="1" x14ac:dyDescent="0.3">
      <c r="B43" s="7" t="s">
        <v>211</v>
      </c>
      <c r="C43" s="7" t="s">
        <v>147</v>
      </c>
      <c r="D43" s="7" t="s">
        <v>151</v>
      </c>
      <c r="E43" s="7">
        <f>E42/10</f>
        <v>36250000</v>
      </c>
      <c r="F43" s="7">
        <f t="shared" ref="F43:U46" si="24">F42/10</f>
        <v>5100000</v>
      </c>
      <c r="G43" s="7">
        <f t="shared" si="24"/>
        <v>72083553.145536438</v>
      </c>
      <c r="H43" s="7">
        <f t="shared" si="24"/>
        <v>1240</v>
      </c>
      <c r="I43" s="7">
        <f t="shared" si="24"/>
        <v>77000000</v>
      </c>
      <c r="J43" s="7">
        <f t="shared" si="24"/>
        <v>0</v>
      </c>
      <c r="K43" s="7">
        <f t="shared" si="24"/>
        <v>0</v>
      </c>
      <c r="L43" s="7">
        <f t="shared" si="24"/>
        <v>0</v>
      </c>
      <c r="M43" s="7">
        <f t="shared" si="24"/>
        <v>8.0952380952380949</v>
      </c>
      <c r="N43" s="7">
        <f t="shared" si="24"/>
        <v>105000</v>
      </c>
      <c r="O43" s="7">
        <f t="shared" si="24"/>
        <v>1750000</v>
      </c>
      <c r="P43" s="7">
        <f t="shared" si="24"/>
        <v>0</v>
      </c>
      <c r="Q43" s="7">
        <f t="shared" si="24"/>
        <v>0</v>
      </c>
      <c r="R43" s="7">
        <f t="shared" si="24"/>
        <v>0</v>
      </c>
      <c r="S43" s="7">
        <f t="shared" si="24"/>
        <v>3305232.0852907798</v>
      </c>
      <c r="T43" s="7">
        <f t="shared" si="24"/>
        <v>9626689.4049740843</v>
      </c>
      <c r="U43" s="7">
        <f t="shared" si="24"/>
        <v>0</v>
      </c>
      <c r="V43" s="7">
        <f t="shared" ref="V43:AH46" si="25">V42/10</f>
        <v>0</v>
      </c>
      <c r="W43" s="7">
        <f t="shared" si="25"/>
        <v>666566364.12159753</v>
      </c>
      <c r="X43" s="7">
        <f t="shared" si="25"/>
        <v>1124925.8135160864</v>
      </c>
      <c r="Y43" s="7">
        <f t="shared" si="25"/>
        <v>0</v>
      </c>
      <c r="Z43" s="7">
        <f t="shared" si="25"/>
        <v>0</v>
      </c>
      <c r="AA43" s="7">
        <f t="shared" si="25"/>
        <v>0</v>
      </c>
      <c r="AB43" s="7">
        <f t="shared" si="25"/>
        <v>73700</v>
      </c>
      <c r="AC43" s="7">
        <f t="shared" si="25"/>
        <v>0</v>
      </c>
      <c r="AD43" s="7">
        <f t="shared" si="25"/>
        <v>0</v>
      </c>
      <c r="AE43" s="7">
        <f t="shared" si="25"/>
        <v>0</v>
      </c>
      <c r="AF43" s="7">
        <f t="shared" si="25"/>
        <v>0</v>
      </c>
      <c r="AG43" s="7">
        <f t="shared" si="25"/>
        <v>0</v>
      </c>
      <c r="AH43" s="7">
        <f t="shared" si="25"/>
        <v>0</v>
      </c>
    </row>
    <row r="44" spans="1:34" s="7" customFormat="1" x14ac:dyDescent="0.3">
      <c r="B44" s="7" t="s">
        <v>212</v>
      </c>
      <c r="C44" s="7" t="s">
        <v>147</v>
      </c>
      <c r="D44" s="7" t="s">
        <v>151</v>
      </c>
      <c r="E44" s="7">
        <f t="shared" ref="E44:E46" si="26">E43/10</f>
        <v>3625000</v>
      </c>
      <c r="F44" s="7">
        <f t="shared" si="24"/>
        <v>510000</v>
      </c>
      <c r="G44" s="7">
        <f t="shared" si="24"/>
        <v>7208355.3145536436</v>
      </c>
      <c r="H44" s="7">
        <f t="shared" si="24"/>
        <v>124</v>
      </c>
      <c r="I44" s="7">
        <f t="shared" si="24"/>
        <v>7700000</v>
      </c>
      <c r="J44" s="7">
        <f t="shared" si="24"/>
        <v>0</v>
      </c>
      <c r="K44" s="7">
        <f t="shared" si="24"/>
        <v>0</v>
      </c>
      <c r="L44" s="7">
        <f t="shared" si="24"/>
        <v>0</v>
      </c>
      <c r="M44" s="7">
        <v>0</v>
      </c>
      <c r="N44" s="7">
        <f t="shared" si="24"/>
        <v>10500</v>
      </c>
      <c r="O44" s="7">
        <f t="shared" si="24"/>
        <v>175000</v>
      </c>
      <c r="P44" s="7">
        <f t="shared" si="24"/>
        <v>0</v>
      </c>
      <c r="Q44" s="7">
        <f t="shared" si="24"/>
        <v>0</v>
      </c>
      <c r="R44" s="7">
        <f t="shared" si="24"/>
        <v>0</v>
      </c>
      <c r="S44" s="7">
        <f t="shared" si="24"/>
        <v>330523.20852907799</v>
      </c>
      <c r="T44" s="7">
        <f t="shared" si="24"/>
        <v>962668.94049740839</v>
      </c>
      <c r="U44" s="7">
        <f t="shared" si="24"/>
        <v>0</v>
      </c>
      <c r="V44" s="7">
        <f t="shared" si="25"/>
        <v>0</v>
      </c>
      <c r="W44" s="7">
        <f t="shared" si="25"/>
        <v>66656636.412159756</v>
      </c>
      <c r="X44" s="7">
        <f t="shared" si="25"/>
        <v>112492.58135160865</v>
      </c>
      <c r="Y44" s="7">
        <f t="shared" si="25"/>
        <v>0</v>
      </c>
      <c r="Z44" s="7">
        <f t="shared" si="25"/>
        <v>0</v>
      </c>
      <c r="AA44" s="7">
        <f t="shared" si="25"/>
        <v>0</v>
      </c>
      <c r="AB44" s="7">
        <v>0</v>
      </c>
      <c r="AC44" s="7">
        <f t="shared" si="25"/>
        <v>0</v>
      </c>
      <c r="AD44" s="7">
        <f t="shared" si="25"/>
        <v>0</v>
      </c>
      <c r="AE44" s="7">
        <f t="shared" si="25"/>
        <v>0</v>
      </c>
      <c r="AF44" s="7">
        <f t="shared" si="25"/>
        <v>0</v>
      </c>
      <c r="AG44" s="7">
        <f t="shared" si="25"/>
        <v>0</v>
      </c>
      <c r="AH44" s="7">
        <f t="shared" si="25"/>
        <v>0</v>
      </c>
    </row>
    <row r="45" spans="1:34" s="7" customFormat="1" x14ac:dyDescent="0.3">
      <c r="B45" s="7" t="s">
        <v>213</v>
      </c>
      <c r="C45" s="7" t="s">
        <v>147</v>
      </c>
      <c r="D45" s="7" t="s">
        <v>151</v>
      </c>
      <c r="E45" s="7">
        <f t="shared" si="26"/>
        <v>362500</v>
      </c>
      <c r="F45" s="7">
        <f t="shared" si="24"/>
        <v>51000</v>
      </c>
      <c r="G45" s="7">
        <f t="shared" si="24"/>
        <v>720835.53145536431</v>
      </c>
      <c r="H45" s="7">
        <f t="shared" si="24"/>
        <v>12.4</v>
      </c>
      <c r="I45" s="7">
        <f t="shared" si="24"/>
        <v>770000</v>
      </c>
      <c r="J45" s="7">
        <f t="shared" si="24"/>
        <v>0</v>
      </c>
      <c r="K45" s="7">
        <f t="shared" si="24"/>
        <v>0</v>
      </c>
      <c r="L45" s="7">
        <f t="shared" si="24"/>
        <v>0</v>
      </c>
      <c r="M45" s="7">
        <f t="shared" si="24"/>
        <v>0</v>
      </c>
      <c r="N45" s="7">
        <f t="shared" si="24"/>
        <v>1050</v>
      </c>
      <c r="O45" s="7">
        <f t="shared" si="24"/>
        <v>17500</v>
      </c>
      <c r="P45" s="7">
        <f t="shared" si="24"/>
        <v>0</v>
      </c>
      <c r="Q45" s="7">
        <f t="shared" si="24"/>
        <v>0</v>
      </c>
      <c r="R45" s="7">
        <f t="shared" si="24"/>
        <v>0</v>
      </c>
      <c r="S45" s="7">
        <v>0</v>
      </c>
      <c r="T45" s="7">
        <f t="shared" si="24"/>
        <v>96266.894049740833</v>
      </c>
      <c r="U45" s="7">
        <f t="shared" si="24"/>
        <v>0</v>
      </c>
      <c r="V45" s="7">
        <f t="shared" si="25"/>
        <v>0</v>
      </c>
      <c r="W45" s="7">
        <f t="shared" si="25"/>
        <v>6665663.6412159754</v>
      </c>
      <c r="X45" s="7">
        <f t="shared" si="25"/>
        <v>11249.258135160864</v>
      </c>
      <c r="Y45" s="7">
        <f t="shared" si="25"/>
        <v>0</v>
      </c>
      <c r="Z45" s="7">
        <f t="shared" si="25"/>
        <v>0</v>
      </c>
      <c r="AA45" s="7">
        <f t="shared" si="25"/>
        <v>0</v>
      </c>
      <c r="AB45" s="7">
        <f t="shared" si="25"/>
        <v>0</v>
      </c>
      <c r="AC45" s="7">
        <f t="shared" si="25"/>
        <v>0</v>
      </c>
      <c r="AD45" s="7">
        <f t="shared" si="25"/>
        <v>0</v>
      </c>
      <c r="AE45" s="7">
        <f t="shared" si="25"/>
        <v>0</v>
      </c>
      <c r="AF45" s="7">
        <f t="shared" si="25"/>
        <v>0</v>
      </c>
      <c r="AG45" s="7">
        <f t="shared" si="25"/>
        <v>0</v>
      </c>
      <c r="AH45" s="7">
        <f t="shared" si="25"/>
        <v>0</v>
      </c>
    </row>
    <row r="46" spans="1:34" s="7" customFormat="1" x14ac:dyDescent="0.3">
      <c r="B46" s="7" t="s">
        <v>214</v>
      </c>
      <c r="C46" s="7" t="s">
        <v>147</v>
      </c>
      <c r="D46" s="7" t="s">
        <v>151</v>
      </c>
      <c r="E46" s="7">
        <f t="shared" si="26"/>
        <v>36250</v>
      </c>
      <c r="F46" s="7">
        <f t="shared" si="24"/>
        <v>5100</v>
      </c>
      <c r="G46" s="7">
        <f t="shared" si="24"/>
        <v>72083.553145536425</v>
      </c>
      <c r="H46" s="7">
        <f t="shared" si="24"/>
        <v>1.24</v>
      </c>
      <c r="I46" s="7">
        <f t="shared" si="24"/>
        <v>77000</v>
      </c>
      <c r="J46" s="7">
        <f t="shared" si="24"/>
        <v>0</v>
      </c>
      <c r="K46" s="7">
        <f t="shared" si="24"/>
        <v>0</v>
      </c>
      <c r="L46" s="7">
        <f t="shared" si="24"/>
        <v>0</v>
      </c>
      <c r="M46" s="7">
        <f t="shared" si="24"/>
        <v>0</v>
      </c>
      <c r="N46" s="7">
        <f t="shared" si="24"/>
        <v>105</v>
      </c>
      <c r="O46" s="7">
        <f t="shared" si="24"/>
        <v>1750</v>
      </c>
      <c r="P46" s="7">
        <f t="shared" si="24"/>
        <v>0</v>
      </c>
      <c r="Q46" s="7">
        <f t="shared" si="24"/>
        <v>0</v>
      </c>
      <c r="R46" s="7">
        <f t="shared" si="24"/>
        <v>0</v>
      </c>
      <c r="S46" s="7">
        <v>0</v>
      </c>
      <c r="T46" s="7">
        <v>0</v>
      </c>
      <c r="U46" s="7">
        <f t="shared" si="24"/>
        <v>0</v>
      </c>
      <c r="V46" s="7">
        <f t="shared" si="25"/>
        <v>0</v>
      </c>
      <c r="W46" s="7">
        <f t="shared" si="25"/>
        <v>666566.36412159749</v>
      </c>
      <c r="X46" s="7">
        <f t="shared" si="25"/>
        <v>1124.9258135160865</v>
      </c>
      <c r="Y46" s="7">
        <f t="shared" si="25"/>
        <v>0</v>
      </c>
      <c r="Z46" s="7">
        <f t="shared" si="25"/>
        <v>0</v>
      </c>
      <c r="AA46" s="7">
        <f t="shared" si="25"/>
        <v>0</v>
      </c>
      <c r="AB46" s="7">
        <f t="shared" si="25"/>
        <v>0</v>
      </c>
      <c r="AC46" s="7">
        <f t="shared" si="25"/>
        <v>0</v>
      </c>
      <c r="AD46" s="7">
        <f t="shared" si="25"/>
        <v>0</v>
      </c>
      <c r="AE46" s="7">
        <f t="shared" si="25"/>
        <v>0</v>
      </c>
      <c r="AF46" s="7">
        <f t="shared" si="25"/>
        <v>0</v>
      </c>
      <c r="AG46" s="7">
        <f t="shared" si="25"/>
        <v>0</v>
      </c>
      <c r="AH46" s="7">
        <f t="shared" si="25"/>
        <v>0</v>
      </c>
    </row>
    <row r="47" spans="1:34" s="7" customFormat="1" x14ac:dyDescent="0.3">
      <c r="A47" s="7">
        <v>70</v>
      </c>
      <c r="B47" s="7" t="s">
        <v>99</v>
      </c>
      <c r="C47" s="7" t="s">
        <v>146</v>
      </c>
      <c r="D47" s="7" t="s">
        <v>146</v>
      </c>
      <c r="E47" s="7">
        <v>46500</v>
      </c>
      <c r="F47" s="7">
        <v>11000</v>
      </c>
      <c r="G47" s="7">
        <v>15002993.330532409</v>
      </c>
      <c r="H47" s="7">
        <v>505</v>
      </c>
      <c r="I47" s="7">
        <v>950</v>
      </c>
      <c r="J47" s="7">
        <v>26250</v>
      </c>
      <c r="K47" s="7">
        <v>0</v>
      </c>
      <c r="L47" s="7">
        <v>0</v>
      </c>
      <c r="M47" s="7">
        <v>0</v>
      </c>
      <c r="N47" s="7">
        <v>14500</v>
      </c>
      <c r="O47" s="7">
        <v>455000</v>
      </c>
      <c r="P47" s="7">
        <v>746362.75650062924</v>
      </c>
      <c r="Q47" s="7">
        <v>13351.066527959772</v>
      </c>
      <c r="R47" s="7">
        <v>232435.23302498518</v>
      </c>
      <c r="S47" s="7">
        <v>1638577.3977619479</v>
      </c>
      <c r="T47" s="7">
        <v>11061192.741606535</v>
      </c>
      <c r="U47" s="7">
        <v>0</v>
      </c>
      <c r="V47" s="7">
        <v>0</v>
      </c>
      <c r="W47" s="7">
        <v>5051916.6524003539</v>
      </c>
      <c r="X47" s="7">
        <v>941189.15196808334</v>
      </c>
      <c r="Y47" s="7">
        <v>84600</v>
      </c>
      <c r="Z47" s="7">
        <v>0</v>
      </c>
      <c r="AA47" s="7">
        <v>0</v>
      </c>
      <c r="AB47" s="7">
        <v>11500</v>
      </c>
      <c r="AC47" s="7">
        <v>59.000000000000007</v>
      </c>
      <c r="AD47" s="7">
        <v>190</v>
      </c>
      <c r="AE47" s="7">
        <v>0</v>
      </c>
      <c r="AF47" s="7">
        <v>0</v>
      </c>
      <c r="AG47" s="7">
        <v>0</v>
      </c>
      <c r="AH47" s="7">
        <v>14800</v>
      </c>
    </row>
    <row r="48" spans="1:34" s="7" customFormat="1" x14ac:dyDescent="0.3">
      <c r="B48" s="7" t="s">
        <v>175</v>
      </c>
      <c r="C48" s="7" t="s">
        <v>146</v>
      </c>
      <c r="D48" s="7" t="s">
        <v>146</v>
      </c>
      <c r="E48" s="7">
        <f>E47/10</f>
        <v>4650</v>
      </c>
      <c r="F48" s="7">
        <f t="shared" ref="F48:U51" si="27">F47/10</f>
        <v>1100</v>
      </c>
      <c r="G48" s="7">
        <f t="shared" si="27"/>
        <v>1500299.333053241</v>
      </c>
      <c r="H48" s="7">
        <f t="shared" si="27"/>
        <v>50.5</v>
      </c>
      <c r="I48" s="7">
        <f t="shared" si="27"/>
        <v>95</v>
      </c>
      <c r="J48" s="7">
        <f t="shared" si="27"/>
        <v>2625</v>
      </c>
      <c r="K48" s="7">
        <f t="shared" si="27"/>
        <v>0</v>
      </c>
      <c r="L48" s="7">
        <f t="shared" si="27"/>
        <v>0</v>
      </c>
      <c r="M48" s="7">
        <f t="shared" si="27"/>
        <v>0</v>
      </c>
      <c r="N48" s="7">
        <f t="shared" si="27"/>
        <v>1450</v>
      </c>
      <c r="O48" s="7">
        <f t="shared" si="27"/>
        <v>45500</v>
      </c>
      <c r="P48" s="7">
        <f t="shared" si="27"/>
        <v>74636.275650062918</v>
      </c>
      <c r="Q48" s="7">
        <v>0</v>
      </c>
      <c r="R48" s="7">
        <v>0</v>
      </c>
      <c r="S48" s="7">
        <f t="shared" si="27"/>
        <v>163857.73977619479</v>
      </c>
      <c r="T48" s="7">
        <f t="shared" si="27"/>
        <v>1106119.2741606536</v>
      </c>
      <c r="U48" s="7">
        <f t="shared" si="27"/>
        <v>0</v>
      </c>
      <c r="V48" s="7">
        <f t="shared" ref="V48:AH51" si="28">V47/10</f>
        <v>0</v>
      </c>
      <c r="W48" s="7">
        <f t="shared" si="28"/>
        <v>505191.66524003539</v>
      </c>
      <c r="X48" s="7">
        <f t="shared" si="28"/>
        <v>94118.915196808332</v>
      </c>
      <c r="Y48" s="7">
        <v>0</v>
      </c>
      <c r="Z48" s="7">
        <f t="shared" si="28"/>
        <v>0</v>
      </c>
      <c r="AA48" s="7">
        <f t="shared" si="28"/>
        <v>0</v>
      </c>
      <c r="AB48" s="7">
        <v>0</v>
      </c>
      <c r="AC48" s="7">
        <v>0</v>
      </c>
      <c r="AD48" s="7">
        <v>0</v>
      </c>
      <c r="AE48" s="7">
        <f t="shared" si="28"/>
        <v>0</v>
      </c>
      <c r="AF48" s="7">
        <f t="shared" si="28"/>
        <v>0</v>
      </c>
      <c r="AG48" s="7">
        <f t="shared" si="28"/>
        <v>0</v>
      </c>
      <c r="AH48" s="7">
        <f t="shared" si="28"/>
        <v>1480</v>
      </c>
    </row>
    <row r="49" spans="1:34" s="7" customFormat="1" x14ac:dyDescent="0.3">
      <c r="B49" s="7" t="s">
        <v>176</v>
      </c>
      <c r="C49" s="7" t="s">
        <v>146</v>
      </c>
      <c r="D49" s="7" t="s">
        <v>146</v>
      </c>
      <c r="E49" s="7">
        <f t="shared" ref="E49:E51" si="29">E48/10</f>
        <v>465</v>
      </c>
      <c r="F49" s="7">
        <f t="shared" si="27"/>
        <v>110</v>
      </c>
      <c r="G49" s="7">
        <f t="shared" si="27"/>
        <v>150029.93330532411</v>
      </c>
      <c r="H49" s="7">
        <f t="shared" si="27"/>
        <v>5.05</v>
      </c>
      <c r="I49" s="7">
        <f t="shared" si="27"/>
        <v>9.5</v>
      </c>
      <c r="J49" s="7">
        <f t="shared" si="27"/>
        <v>262.5</v>
      </c>
      <c r="K49" s="7">
        <f t="shared" si="27"/>
        <v>0</v>
      </c>
      <c r="L49" s="7">
        <f t="shared" si="27"/>
        <v>0</v>
      </c>
      <c r="M49" s="7">
        <f t="shared" si="27"/>
        <v>0</v>
      </c>
      <c r="N49" s="7">
        <f t="shared" si="27"/>
        <v>145</v>
      </c>
      <c r="O49" s="7">
        <f t="shared" si="27"/>
        <v>4550</v>
      </c>
      <c r="P49" s="7">
        <v>0</v>
      </c>
      <c r="Q49" s="7">
        <f t="shared" si="27"/>
        <v>0</v>
      </c>
      <c r="R49" s="7">
        <f t="shared" si="27"/>
        <v>0</v>
      </c>
      <c r="S49" s="7">
        <v>0</v>
      </c>
      <c r="T49" s="7">
        <f t="shared" si="27"/>
        <v>110611.92741606536</v>
      </c>
      <c r="U49" s="7">
        <f t="shared" si="27"/>
        <v>0</v>
      </c>
      <c r="V49" s="7">
        <f t="shared" si="28"/>
        <v>0</v>
      </c>
      <c r="W49" s="7">
        <f t="shared" si="28"/>
        <v>50519.166524003536</v>
      </c>
      <c r="X49" s="7">
        <f t="shared" si="28"/>
        <v>9411.8915196808339</v>
      </c>
      <c r="Y49" s="7">
        <f t="shared" si="28"/>
        <v>0</v>
      </c>
      <c r="Z49" s="7">
        <f t="shared" si="28"/>
        <v>0</v>
      </c>
      <c r="AA49" s="7">
        <f t="shared" si="28"/>
        <v>0</v>
      </c>
      <c r="AB49" s="7">
        <f t="shared" si="28"/>
        <v>0</v>
      </c>
      <c r="AC49" s="7">
        <f t="shared" si="28"/>
        <v>0</v>
      </c>
      <c r="AD49" s="7">
        <f t="shared" si="28"/>
        <v>0</v>
      </c>
      <c r="AE49" s="7">
        <f t="shared" si="28"/>
        <v>0</v>
      </c>
      <c r="AF49" s="7">
        <f t="shared" si="28"/>
        <v>0</v>
      </c>
      <c r="AG49" s="7">
        <f t="shared" si="28"/>
        <v>0</v>
      </c>
      <c r="AH49" s="7">
        <v>0</v>
      </c>
    </row>
    <row r="50" spans="1:34" s="7" customFormat="1" x14ac:dyDescent="0.3">
      <c r="B50" s="7" t="s">
        <v>177</v>
      </c>
      <c r="C50" s="7" t="s">
        <v>146</v>
      </c>
      <c r="D50" s="7" t="s">
        <v>146</v>
      </c>
      <c r="E50" s="7">
        <f t="shared" si="29"/>
        <v>46.5</v>
      </c>
      <c r="F50" s="7">
        <f t="shared" si="27"/>
        <v>11</v>
      </c>
      <c r="G50" s="7">
        <f t="shared" si="27"/>
        <v>15002.993330532412</v>
      </c>
      <c r="H50" s="7">
        <v>0</v>
      </c>
      <c r="I50" s="7">
        <v>0</v>
      </c>
      <c r="J50" s="7">
        <f t="shared" si="27"/>
        <v>26.25</v>
      </c>
      <c r="K50" s="7">
        <f t="shared" si="27"/>
        <v>0</v>
      </c>
      <c r="L50" s="7">
        <f t="shared" si="27"/>
        <v>0</v>
      </c>
      <c r="M50" s="7">
        <f t="shared" si="27"/>
        <v>0</v>
      </c>
      <c r="N50" s="7">
        <v>0</v>
      </c>
      <c r="O50" s="7">
        <f t="shared" si="27"/>
        <v>455</v>
      </c>
      <c r="P50" s="7">
        <f t="shared" si="27"/>
        <v>0</v>
      </c>
      <c r="Q50" s="7">
        <f t="shared" si="27"/>
        <v>0</v>
      </c>
      <c r="R50" s="7">
        <f t="shared" si="27"/>
        <v>0</v>
      </c>
      <c r="S50" s="7">
        <f t="shared" si="27"/>
        <v>0</v>
      </c>
      <c r="T50" s="7">
        <v>0</v>
      </c>
      <c r="U50" s="7">
        <f t="shared" si="27"/>
        <v>0</v>
      </c>
      <c r="V50" s="7">
        <f t="shared" si="28"/>
        <v>0</v>
      </c>
      <c r="W50" s="7">
        <f t="shared" si="28"/>
        <v>5051.916652400354</v>
      </c>
      <c r="X50" s="7">
        <f t="shared" si="28"/>
        <v>941.18915196808337</v>
      </c>
      <c r="Y50" s="7">
        <f t="shared" si="28"/>
        <v>0</v>
      </c>
      <c r="Z50" s="7">
        <f t="shared" si="28"/>
        <v>0</v>
      </c>
      <c r="AA50" s="7">
        <f t="shared" si="28"/>
        <v>0</v>
      </c>
      <c r="AB50" s="7">
        <f t="shared" si="28"/>
        <v>0</v>
      </c>
      <c r="AC50" s="7">
        <f t="shared" si="28"/>
        <v>0</v>
      </c>
      <c r="AD50" s="7">
        <f t="shared" si="28"/>
        <v>0</v>
      </c>
      <c r="AE50" s="7">
        <f t="shared" si="28"/>
        <v>0</v>
      </c>
      <c r="AF50" s="7">
        <f t="shared" si="28"/>
        <v>0</v>
      </c>
      <c r="AG50" s="7">
        <f t="shared" si="28"/>
        <v>0</v>
      </c>
      <c r="AH50" s="7">
        <f t="shared" si="28"/>
        <v>0</v>
      </c>
    </row>
    <row r="51" spans="1:34" s="7" customFormat="1" x14ac:dyDescent="0.3">
      <c r="B51" s="7" t="s">
        <v>178</v>
      </c>
      <c r="C51" s="7" t="s">
        <v>146</v>
      </c>
      <c r="D51" s="7" t="s">
        <v>146</v>
      </c>
      <c r="E51" s="7">
        <f t="shared" si="29"/>
        <v>4.6500000000000004</v>
      </c>
      <c r="F51" s="7">
        <f t="shared" si="27"/>
        <v>1.1000000000000001</v>
      </c>
      <c r="G51" s="7">
        <f t="shared" si="27"/>
        <v>1500.2993330532413</v>
      </c>
      <c r="H51" s="7">
        <f t="shared" si="27"/>
        <v>0</v>
      </c>
      <c r="I51" s="7">
        <f t="shared" si="27"/>
        <v>0</v>
      </c>
      <c r="J51" s="7">
        <v>0</v>
      </c>
      <c r="K51" s="7">
        <f t="shared" si="27"/>
        <v>0</v>
      </c>
      <c r="L51" s="7">
        <f t="shared" si="27"/>
        <v>0</v>
      </c>
      <c r="M51" s="7">
        <f t="shared" si="27"/>
        <v>0</v>
      </c>
      <c r="N51" s="7">
        <f t="shared" si="27"/>
        <v>0</v>
      </c>
      <c r="O51" s="7">
        <v>0</v>
      </c>
      <c r="P51" s="7">
        <f t="shared" si="27"/>
        <v>0</v>
      </c>
      <c r="Q51" s="7">
        <f t="shared" si="27"/>
        <v>0</v>
      </c>
      <c r="R51" s="7">
        <f t="shared" si="27"/>
        <v>0</v>
      </c>
      <c r="S51" s="7">
        <f t="shared" si="27"/>
        <v>0</v>
      </c>
      <c r="T51" s="7">
        <f t="shared" si="27"/>
        <v>0</v>
      </c>
      <c r="U51" s="7">
        <f t="shared" si="27"/>
        <v>0</v>
      </c>
      <c r="V51" s="7">
        <f t="shared" si="28"/>
        <v>0</v>
      </c>
      <c r="W51" s="7">
        <f t="shared" si="28"/>
        <v>505.19166524003538</v>
      </c>
      <c r="X51" s="7">
        <v>0</v>
      </c>
      <c r="Y51" s="7">
        <f t="shared" si="28"/>
        <v>0</v>
      </c>
      <c r="Z51" s="7">
        <f t="shared" si="28"/>
        <v>0</v>
      </c>
      <c r="AA51" s="7">
        <f t="shared" si="28"/>
        <v>0</v>
      </c>
      <c r="AB51" s="7">
        <f t="shared" si="28"/>
        <v>0</v>
      </c>
      <c r="AC51" s="7">
        <f t="shared" si="28"/>
        <v>0</v>
      </c>
      <c r="AD51" s="7">
        <f t="shared" si="28"/>
        <v>0</v>
      </c>
      <c r="AE51" s="7">
        <f t="shared" si="28"/>
        <v>0</v>
      </c>
      <c r="AF51" s="7">
        <f t="shared" si="28"/>
        <v>0</v>
      </c>
      <c r="AG51" s="7">
        <f t="shared" si="28"/>
        <v>0</v>
      </c>
      <c r="AH51" s="7">
        <f t="shared" si="28"/>
        <v>0</v>
      </c>
    </row>
    <row r="52" spans="1:34" s="7" customFormat="1" x14ac:dyDescent="0.3">
      <c r="A52" s="7">
        <v>72</v>
      </c>
      <c r="B52" s="7" t="s">
        <v>101</v>
      </c>
      <c r="C52" s="7" t="s">
        <v>146</v>
      </c>
      <c r="D52" s="7" t="s">
        <v>146</v>
      </c>
      <c r="E52" s="7">
        <v>615000</v>
      </c>
      <c r="F52" s="7">
        <v>95700</v>
      </c>
      <c r="G52" s="7">
        <v>1720191879.6622806</v>
      </c>
      <c r="H52" s="7">
        <v>33200</v>
      </c>
      <c r="I52" s="7">
        <v>63000</v>
      </c>
      <c r="J52" s="7">
        <v>4540</v>
      </c>
      <c r="K52" s="7">
        <v>0</v>
      </c>
      <c r="L52" s="7">
        <v>30</v>
      </c>
      <c r="M52" s="7">
        <v>0</v>
      </c>
      <c r="N52" s="7">
        <v>1100000</v>
      </c>
      <c r="O52" s="7">
        <v>1150000</v>
      </c>
      <c r="P52" s="7">
        <v>17750000</v>
      </c>
      <c r="Q52" s="7">
        <v>0</v>
      </c>
      <c r="R52" s="7">
        <v>0</v>
      </c>
      <c r="S52" s="7">
        <v>0</v>
      </c>
      <c r="T52" s="7">
        <v>93207736.176381797</v>
      </c>
      <c r="U52" s="7">
        <v>0</v>
      </c>
      <c r="V52" s="7">
        <v>31839.597987411838</v>
      </c>
      <c r="W52" s="7">
        <v>3194426109.3449373</v>
      </c>
      <c r="X52" s="7">
        <v>20736362.453615837</v>
      </c>
      <c r="Y52" s="7">
        <v>105000</v>
      </c>
      <c r="Z52" s="7">
        <v>0</v>
      </c>
      <c r="AA52" s="7">
        <v>0</v>
      </c>
      <c r="AB52" s="7">
        <v>26000</v>
      </c>
      <c r="AC52" s="7">
        <v>280</v>
      </c>
      <c r="AD52" s="7">
        <v>980</v>
      </c>
      <c r="AE52" s="7">
        <v>0</v>
      </c>
      <c r="AF52" s="7">
        <v>260</v>
      </c>
      <c r="AG52" s="7">
        <v>62800</v>
      </c>
      <c r="AH52" s="7">
        <v>13600</v>
      </c>
    </row>
    <row r="53" spans="1:34" s="7" customFormat="1" x14ac:dyDescent="0.3">
      <c r="B53" s="7" t="s">
        <v>179</v>
      </c>
      <c r="C53" s="7" t="s">
        <v>146</v>
      </c>
      <c r="D53" s="7" t="s">
        <v>146</v>
      </c>
      <c r="E53" s="7">
        <f>E52/10</f>
        <v>61500</v>
      </c>
      <c r="F53" s="7">
        <f t="shared" ref="F53:U56" si="30">F52/10</f>
        <v>9570</v>
      </c>
      <c r="G53" s="7">
        <f t="shared" si="30"/>
        <v>172019187.96622807</v>
      </c>
      <c r="H53" s="7">
        <f t="shared" si="30"/>
        <v>3320</v>
      </c>
      <c r="I53" s="7">
        <f t="shared" si="30"/>
        <v>6300</v>
      </c>
      <c r="J53" s="7">
        <f t="shared" si="30"/>
        <v>454</v>
      </c>
      <c r="K53" s="7">
        <f t="shared" si="30"/>
        <v>0</v>
      </c>
      <c r="L53" s="7">
        <v>0</v>
      </c>
      <c r="M53" s="7">
        <f t="shared" si="30"/>
        <v>0</v>
      </c>
      <c r="N53" s="7">
        <f t="shared" si="30"/>
        <v>110000</v>
      </c>
      <c r="O53" s="7">
        <f t="shared" si="30"/>
        <v>115000</v>
      </c>
      <c r="P53" s="7">
        <f t="shared" si="30"/>
        <v>1775000</v>
      </c>
      <c r="Q53" s="7">
        <f t="shared" si="30"/>
        <v>0</v>
      </c>
      <c r="R53" s="7">
        <f t="shared" si="30"/>
        <v>0</v>
      </c>
      <c r="S53" s="7">
        <f t="shared" si="30"/>
        <v>0</v>
      </c>
      <c r="T53" s="7">
        <f t="shared" si="30"/>
        <v>9320773.61763818</v>
      </c>
      <c r="U53" s="7">
        <f t="shared" si="30"/>
        <v>0</v>
      </c>
      <c r="V53" s="7">
        <f t="shared" ref="V53:AH56" si="31">V52/10</f>
        <v>3183.9597987411839</v>
      </c>
      <c r="W53" s="7">
        <f t="shared" si="31"/>
        <v>319442610.93449372</v>
      </c>
      <c r="X53" s="7">
        <f t="shared" si="31"/>
        <v>2073636.2453615838</v>
      </c>
      <c r="Y53" s="7">
        <v>0</v>
      </c>
      <c r="Z53" s="7">
        <f t="shared" si="31"/>
        <v>0</v>
      </c>
      <c r="AA53" s="7">
        <f t="shared" si="31"/>
        <v>0</v>
      </c>
      <c r="AB53" s="7">
        <v>0</v>
      </c>
      <c r="AC53" s="7">
        <v>0</v>
      </c>
      <c r="AD53" s="7">
        <f t="shared" si="31"/>
        <v>98</v>
      </c>
      <c r="AE53" s="7">
        <f t="shared" si="31"/>
        <v>0</v>
      </c>
      <c r="AF53" s="7">
        <v>0</v>
      </c>
      <c r="AG53" s="7">
        <v>0</v>
      </c>
      <c r="AH53" s="7">
        <f t="shared" si="31"/>
        <v>1360</v>
      </c>
    </row>
    <row r="54" spans="1:34" s="7" customFormat="1" x14ac:dyDescent="0.3">
      <c r="B54" s="7" t="s">
        <v>180</v>
      </c>
      <c r="C54" s="7" t="s">
        <v>146</v>
      </c>
      <c r="D54" s="7" t="s">
        <v>146</v>
      </c>
      <c r="E54" s="7">
        <f t="shared" ref="E54:E56" si="32">E53/10</f>
        <v>6150</v>
      </c>
      <c r="F54" s="7">
        <f t="shared" si="30"/>
        <v>957</v>
      </c>
      <c r="G54" s="7">
        <f t="shared" si="30"/>
        <v>17201918.796622805</v>
      </c>
      <c r="H54" s="7">
        <f t="shared" si="30"/>
        <v>332</v>
      </c>
      <c r="I54" s="7">
        <f t="shared" si="30"/>
        <v>630</v>
      </c>
      <c r="J54" s="7">
        <f t="shared" si="30"/>
        <v>45.4</v>
      </c>
      <c r="K54" s="7">
        <f t="shared" si="30"/>
        <v>0</v>
      </c>
      <c r="L54" s="7">
        <v>0</v>
      </c>
      <c r="M54" s="7">
        <f t="shared" si="30"/>
        <v>0</v>
      </c>
      <c r="N54" s="7">
        <f t="shared" si="30"/>
        <v>11000</v>
      </c>
      <c r="O54" s="7">
        <f t="shared" si="30"/>
        <v>11500</v>
      </c>
      <c r="P54" s="7">
        <f t="shared" si="30"/>
        <v>177500</v>
      </c>
      <c r="Q54" s="7">
        <f t="shared" si="30"/>
        <v>0</v>
      </c>
      <c r="R54" s="7">
        <f t="shared" si="30"/>
        <v>0</v>
      </c>
      <c r="S54" s="7">
        <f t="shared" si="30"/>
        <v>0</v>
      </c>
      <c r="T54" s="7">
        <f t="shared" si="30"/>
        <v>932077.36176381796</v>
      </c>
      <c r="U54" s="7">
        <f t="shared" si="30"/>
        <v>0</v>
      </c>
      <c r="V54" s="7">
        <v>0</v>
      </c>
      <c r="W54" s="7">
        <f t="shared" si="31"/>
        <v>31944261.093449373</v>
      </c>
      <c r="X54" s="7">
        <f t="shared" si="31"/>
        <v>207363.62453615837</v>
      </c>
      <c r="Y54" s="7">
        <f t="shared" si="31"/>
        <v>0</v>
      </c>
      <c r="Z54" s="7">
        <f t="shared" si="31"/>
        <v>0</v>
      </c>
      <c r="AA54" s="7">
        <f t="shared" si="31"/>
        <v>0</v>
      </c>
      <c r="AB54" s="7">
        <f t="shared" si="31"/>
        <v>0</v>
      </c>
      <c r="AC54" s="7">
        <f t="shared" si="31"/>
        <v>0</v>
      </c>
      <c r="AD54" s="7">
        <v>0</v>
      </c>
      <c r="AE54" s="7">
        <f t="shared" si="31"/>
        <v>0</v>
      </c>
      <c r="AF54" s="7">
        <f t="shared" si="31"/>
        <v>0</v>
      </c>
      <c r="AG54" s="7">
        <f t="shared" si="31"/>
        <v>0</v>
      </c>
      <c r="AH54" s="7">
        <v>0</v>
      </c>
    </row>
    <row r="55" spans="1:34" s="7" customFormat="1" x14ac:dyDescent="0.3">
      <c r="B55" s="7" t="s">
        <v>181</v>
      </c>
      <c r="C55" s="7" t="s">
        <v>146</v>
      </c>
      <c r="D55" s="7" t="s">
        <v>146</v>
      </c>
      <c r="E55" s="7">
        <f t="shared" si="32"/>
        <v>615</v>
      </c>
      <c r="F55" s="7">
        <f t="shared" si="30"/>
        <v>95.7</v>
      </c>
      <c r="G55" s="7">
        <f t="shared" si="30"/>
        <v>1720191.8796622804</v>
      </c>
      <c r="H55" s="7">
        <f t="shared" si="30"/>
        <v>33.200000000000003</v>
      </c>
      <c r="I55" s="7">
        <f t="shared" si="30"/>
        <v>63</v>
      </c>
      <c r="J55" s="7">
        <v>0</v>
      </c>
      <c r="K55" s="7">
        <f t="shared" si="30"/>
        <v>0</v>
      </c>
      <c r="L55" s="7">
        <f t="shared" si="30"/>
        <v>0</v>
      </c>
      <c r="M55" s="7">
        <f t="shared" si="30"/>
        <v>0</v>
      </c>
      <c r="N55" s="7">
        <f t="shared" si="30"/>
        <v>1100</v>
      </c>
      <c r="O55" s="7">
        <f t="shared" si="30"/>
        <v>1150</v>
      </c>
      <c r="P55" s="7">
        <v>0</v>
      </c>
      <c r="Q55" s="7">
        <f t="shared" si="30"/>
        <v>0</v>
      </c>
      <c r="R55" s="7">
        <f t="shared" si="30"/>
        <v>0</v>
      </c>
      <c r="S55" s="7">
        <f t="shared" si="30"/>
        <v>0</v>
      </c>
      <c r="T55" s="7">
        <f t="shared" si="30"/>
        <v>93207.73617638179</v>
      </c>
      <c r="U55" s="7">
        <f t="shared" si="30"/>
        <v>0</v>
      </c>
      <c r="V55" s="7">
        <f t="shared" ref="V55:AH58" si="33">V54/10</f>
        <v>0</v>
      </c>
      <c r="W55" s="7">
        <f t="shared" si="33"/>
        <v>3194426.1093449374</v>
      </c>
      <c r="X55" s="7">
        <f t="shared" si="33"/>
        <v>20736.362453615839</v>
      </c>
      <c r="Y55" s="7">
        <f t="shared" si="33"/>
        <v>0</v>
      </c>
      <c r="Z55" s="7">
        <f t="shared" si="33"/>
        <v>0</v>
      </c>
      <c r="AA55" s="7">
        <f t="shared" si="33"/>
        <v>0</v>
      </c>
      <c r="AB55" s="7">
        <f t="shared" si="33"/>
        <v>0</v>
      </c>
      <c r="AC55" s="7">
        <f t="shared" si="33"/>
        <v>0</v>
      </c>
      <c r="AD55" s="7">
        <f t="shared" si="33"/>
        <v>0</v>
      </c>
      <c r="AE55" s="7">
        <f t="shared" si="33"/>
        <v>0</v>
      </c>
      <c r="AF55" s="7">
        <f t="shared" si="33"/>
        <v>0</v>
      </c>
      <c r="AG55" s="7">
        <f t="shared" si="33"/>
        <v>0</v>
      </c>
      <c r="AH55" s="7">
        <f t="shared" si="33"/>
        <v>0</v>
      </c>
    </row>
    <row r="56" spans="1:34" s="7" customFormat="1" x14ac:dyDescent="0.3">
      <c r="B56" s="7" t="s">
        <v>182</v>
      </c>
      <c r="C56" s="7" t="s">
        <v>146</v>
      </c>
      <c r="D56" s="7" t="s">
        <v>146</v>
      </c>
      <c r="E56" s="7">
        <f t="shared" si="32"/>
        <v>61.5</v>
      </c>
      <c r="F56" s="7">
        <f t="shared" si="30"/>
        <v>9.57</v>
      </c>
      <c r="G56" s="7">
        <f t="shared" si="30"/>
        <v>172019.18796622806</v>
      </c>
      <c r="H56" s="7">
        <f t="shared" si="30"/>
        <v>3.3200000000000003</v>
      </c>
      <c r="I56" s="7">
        <f t="shared" si="30"/>
        <v>6.3</v>
      </c>
      <c r="J56" s="7">
        <f t="shared" si="30"/>
        <v>0</v>
      </c>
      <c r="K56" s="7">
        <f t="shared" si="30"/>
        <v>0</v>
      </c>
      <c r="L56" s="7">
        <f t="shared" si="30"/>
        <v>0</v>
      </c>
      <c r="M56" s="7">
        <f t="shared" si="30"/>
        <v>0</v>
      </c>
      <c r="N56" s="7">
        <f t="shared" si="30"/>
        <v>110</v>
      </c>
      <c r="O56" s="7">
        <f t="shared" si="30"/>
        <v>115</v>
      </c>
      <c r="P56" s="7">
        <f t="shared" si="30"/>
        <v>0</v>
      </c>
      <c r="Q56" s="7">
        <f t="shared" si="30"/>
        <v>0</v>
      </c>
      <c r="R56" s="7">
        <f t="shared" si="30"/>
        <v>0</v>
      </c>
      <c r="S56" s="7">
        <f t="shared" si="30"/>
        <v>0</v>
      </c>
      <c r="T56" s="7">
        <v>0</v>
      </c>
      <c r="U56" s="7">
        <f t="shared" si="30"/>
        <v>0</v>
      </c>
      <c r="V56" s="7">
        <f t="shared" si="33"/>
        <v>0</v>
      </c>
      <c r="W56" s="7">
        <f t="shared" si="33"/>
        <v>319442.61093449371</v>
      </c>
      <c r="X56" s="7">
        <f t="shared" si="33"/>
        <v>2073.6362453615839</v>
      </c>
      <c r="Y56" s="7">
        <f t="shared" si="33"/>
        <v>0</v>
      </c>
      <c r="Z56" s="7">
        <f t="shared" si="33"/>
        <v>0</v>
      </c>
      <c r="AA56" s="7">
        <f t="shared" si="33"/>
        <v>0</v>
      </c>
      <c r="AB56" s="7">
        <f t="shared" si="33"/>
        <v>0</v>
      </c>
      <c r="AC56" s="7">
        <f t="shared" si="33"/>
        <v>0</v>
      </c>
      <c r="AD56" s="7">
        <f t="shared" si="33"/>
        <v>0</v>
      </c>
      <c r="AE56" s="7">
        <f t="shared" si="33"/>
        <v>0</v>
      </c>
      <c r="AF56" s="7">
        <f t="shared" si="33"/>
        <v>0</v>
      </c>
      <c r="AG56" s="7">
        <f t="shared" si="33"/>
        <v>0</v>
      </c>
      <c r="AH56" s="7">
        <f t="shared" si="33"/>
        <v>0</v>
      </c>
    </row>
    <row r="57" spans="1:34" s="7" customFormat="1" x14ac:dyDescent="0.3">
      <c r="A57" s="7">
        <v>101</v>
      </c>
      <c r="B57" s="7" t="s">
        <v>130</v>
      </c>
      <c r="C57" s="7" t="s">
        <v>146</v>
      </c>
      <c r="D57" s="7" t="s">
        <v>146</v>
      </c>
      <c r="E57" s="7">
        <v>1236363</v>
      </c>
      <c r="F57" s="7">
        <v>95909</v>
      </c>
      <c r="G57" s="7">
        <v>613353674.35255432</v>
      </c>
      <c r="H57" s="7">
        <v>11318</v>
      </c>
      <c r="I57" s="7">
        <v>40227</v>
      </c>
      <c r="J57" s="7">
        <v>0</v>
      </c>
      <c r="K57" s="7">
        <v>0</v>
      </c>
      <c r="L57" s="7">
        <v>0</v>
      </c>
      <c r="M57" s="7">
        <v>145</v>
      </c>
      <c r="N57" s="7">
        <v>3000000</v>
      </c>
      <c r="O57" s="7">
        <v>7045454.5454545449</v>
      </c>
      <c r="P57" s="7">
        <v>20550000</v>
      </c>
      <c r="Q57" s="7">
        <v>0</v>
      </c>
      <c r="R57" s="7">
        <v>0</v>
      </c>
      <c r="S57" s="7">
        <v>0</v>
      </c>
      <c r="T57" s="7">
        <v>19401573.795725212</v>
      </c>
      <c r="U57" s="7">
        <v>0</v>
      </c>
      <c r="V57" s="7">
        <v>0</v>
      </c>
      <c r="W57" s="7">
        <v>3368766538.6785059</v>
      </c>
      <c r="X57" s="7">
        <v>70162126.326048225</v>
      </c>
      <c r="Y57" s="7">
        <v>456000</v>
      </c>
      <c r="Z57" s="7">
        <v>0</v>
      </c>
      <c r="AA57" s="7">
        <v>0</v>
      </c>
      <c r="AB57" s="7">
        <v>0</v>
      </c>
      <c r="AC57" s="7">
        <v>390</v>
      </c>
      <c r="AD57" s="7">
        <v>580</v>
      </c>
      <c r="AE57" s="7">
        <v>260</v>
      </c>
      <c r="AF57" s="7">
        <v>160</v>
      </c>
      <c r="AG57" s="7">
        <v>0</v>
      </c>
      <c r="AH57" s="7">
        <v>158800</v>
      </c>
    </row>
    <row r="58" spans="1:34" s="7" customFormat="1" x14ac:dyDescent="0.3">
      <c r="B58" s="7" t="s">
        <v>183</v>
      </c>
      <c r="C58" s="7" t="s">
        <v>146</v>
      </c>
      <c r="D58" s="7" t="s">
        <v>146</v>
      </c>
      <c r="E58" s="7">
        <f>E57/10</f>
        <v>123636.3</v>
      </c>
      <c r="F58" s="7">
        <f t="shared" ref="F58:U61" si="34">F57/10</f>
        <v>9590.9</v>
      </c>
      <c r="G58" s="7">
        <f t="shared" si="34"/>
        <v>61335367.435255431</v>
      </c>
      <c r="H58" s="7">
        <f t="shared" si="34"/>
        <v>1131.8</v>
      </c>
      <c r="I58" s="7">
        <f t="shared" si="34"/>
        <v>4022.7</v>
      </c>
      <c r="J58" s="7">
        <f t="shared" si="34"/>
        <v>0</v>
      </c>
      <c r="K58" s="7">
        <f t="shared" si="34"/>
        <v>0</v>
      </c>
      <c r="L58" s="7">
        <f t="shared" si="34"/>
        <v>0</v>
      </c>
      <c r="M58" s="7">
        <f t="shared" si="34"/>
        <v>14.5</v>
      </c>
      <c r="N58" s="7">
        <f t="shared" si="34"/>
        <v>300000</v>
      </c>
      <c r="O58" s="7">
        <f t="shared" si="34"/>
        <v>704545.45454545447</v>
      </c>
      <c r="P58" s="7">
        <f t="shared" si="34"/>
        <v>2055000</v>
      </c>
      <c r="Q58" s="7">
        <f t="shared" si="34"/>
        <v>0</v>
      </c>
      <c r="R58" s="7">
        <f t="shared" si="34"/>
        <v>0</v>
      </c>
      <c r="S58" s="7">
        <f t="shared" si="34"/>
        <v>0</v>
      </c>
      <c r="T58" s="7">
        <f t="shared" si="34"/>
        <v>1940157.3795725212</v>
      </c>
      <c r="U58" s="7">
        <f t="shared" si="34"/>
        <v>0</v>
      </c>
      <c r="V58" s="7">
        <f t="shared" ref="V58:AH61" si="35">V57/10</f>
        <v>0</v>
      </c>
      <c r="W58" s="7">
        <f t="shared" si="35"/>
        <v>336876653.8678506</v>
      </c>
      <c r="X58" s="7">
        <f t="shared" si="35"/>
        <v>7016212.6326048225</v>
      </c>
      <c r="Y58" s="7">
        <f t="shared" si="35"/>
        <v>45600</v>
      </c>
      <c r="Z58" s="7">
        <f t="shared" si="35"/>
        <v>0</v>
      </c>
      <c r="AA58" s="7">
        <f t="shared" si="35"/>
        <v>0</v>
      </c>
      <c r="AB58" s="7">
        <f t="shared" si="35"/>
        <v>0</v>
      </c>
      <c r="AC58" s="7">
        <v>0</v>
      </c>
      <c r="AD58" s="7">
        <f t="shared" si="35"/>
        <v>58</v>
      </c>
      <c r="AE58" s="7">
        <v>0</v>
      </c>
      <c r="AF58" s="7">
        <v>0</v>
      </c>
      <c r="AG58" s="7">
        <f t="shared" si="35"/>
        <v>0</v>
      </c>
      <c r="AH58" s="7">
        <f t="shared" si="35"/>
        <v>15880</v>
      </c>
    </row>
    <row r="59" spans="1:34" s="7" customFormat="1" x14ac:dyDescent="0.3">
      <c r="B59" s="7" t="s">
        <v>184</v>
      </c>
      <c r="C59" s="7" t="s">
        <v>146</v>
      </c>
      <c r="D59" s="7" t="s">
        <v>146</v>
      </c>
      <c r="E59" s="7">
        <f t="shared" ref="E59:E61" si="36">E58/10</f>
        <v>12363.630000000001</v>
      </c>
      <c r="F59" s="7">
        <f t="shared" si="34"/>
        <v>959.08999999999992</v>
      </c>
      <c r="G59" s="7">
        <f t="shared" si="34"/>
        <v>6133536.7435255433</v>
      </c>
      <c r="H59" s="7">
        <f t="shared" si="34"/>
        <v>113.17999999999999</v>
      </c>
      <c r="I59" s="7">
        <f t="shared" si="34"/>
        <v>402.27</v>
      </c>
      <c r="J59" s="7">
        <f t="shared" si="34"/>
        <v>0</v>
      </c>
      <c r="K59" s="7">
        <f t="shared" si="34"/>
        <v>0</v>
      </c>
      <c r="L59" s="7">
        <f t="shared" si="34"/>
        <v>0</v>
      </c>
      <c r="M59" s="7">
        <v>0</v>
      </c>
      <c r="N59" s="7">
        <f t="shared" si="34"/>
        <v>30000</v>
      </c>
      <c r="O59" s="7">
        <f t="shared" si="34"/>
        <v>70454.545454545441</v>
      </c>
      <c r="P59" s="7">
        <f t="shared" si="34"/>
        <v>205500</v>
      </c>
      <c r="Q59" s="7">
        <f t="shared" si="34"/>
        <v>0</v>
      </c>
      <c r="R59" s="7">
        <f t="shared" si="34"/>
        <v>0</v>
      </c>
      <c r="S59" s="7">
        <f t="shared" si="34"/>
        <v>0</v>
      </c>
      <c r="T59" s="7">
        <f t="shared" si="34"/>
        <v>194015.73795725213</v>
      </c>
      <c r="U59" s="7">
        <f t="shared" si="34"/>
        <v>0</v>
      </c>
      <c r="V59" s="7">
        <f t="shared" si="35"/>
        <v>0</v>
      </c>
      <c r="W59" s="7">
        <f t="shared" si="35"/>
        <v>33687665.38678506</v>
      </c>
      <c r="X59" s="7">
        <f t="shared" si="35"/>
        <v>701621.26326048223</v>
      </c>
      <c r="Y59" s="7">
        <v>0</v>
      </c>
      <c r="Z59" s="7">
        <f t="shared" si="35"/>
        <v>0</v>
      </c>
      <c r="AA59" s="7">
        <f t="shared" si="35"/>
        <v>0</v>
      </c>
      <c r="AB59" s="7">
        <f t="shared" si="35"/>
        <v>0</v>
      </c>
      <c r="AC59" s="7">
        <f t="shared" si="35"/>
        <v>0</v>
      </c>
      <c r="AD59" s="7">
        <v>0</v>
      </c>
      <c r="AE59" s="7">
        <f t="shared" si="35"/>
        <v>0</v>
      </c>
      <c r="AF59" s="7">
        <f t="shared" si="35"/>
        <v>0</v>
      </c>
      <c r="AG59" s="7">
        <f t="shared" si="35"/>
        <v>0</v>
      </c>
      <c r="AH59" s="7">
        <f t="shared" si="35"/>
        <v>1588</v>
      </c>
    </row>
    <row r="60" spans="1:34" s="7" customFormat="1" x14ac:dyDescent="0.3">
      <c r="B60" s="7" t="s">
        <v>185</v>
      </c>
      <c r="C60" s="7" t="s">
        <v>146</v>
      </c>
      <c r="D60" s="7" t="s">
        <v>146</v>
      </c>
      <c r="E60" s="7">
        <f t="shared" si="36"/>
        <v>1236.3630000000001</v>
      </c>
      <c r="F60" s="7">
        <f t="shared" si="34"/>
        <v>95.908999999999992</v>
      </c>
      <c r="G60" s="7">
        <f t="shared" si="34"/>
        <v>613353.67435255437</v>
      </c>
      <c r="H60" s="7">
        <f t="shared" si="34"/>
        <v>11.318</v>
      </c>
      <c r="I60" s="7">
        <f t="shared" si="34"/>
        <v>40.226999999999997</v>
      </c>
      <c r="J60" s="7">
        <f t="shared" si="34"/>
        <v>0</v>
      </c>
      <c r="K60" s="7">
        <f t="shared" si="34"/>
        <v>0</v>
      </c>
      <c r="L60" s="7">
        <f t="shared" si="34"/>
        <v>0</v>
      </c>
      <c r="M60" s="7">
        <f t="shared" si="34"/>
        <v>0</v>
      </c>
      <c r="N60" s="7">
        <f t="shared" si="34"/>
        <v>3000</v>
      </c>
      <c r="O60" s="7">
        <f t="shared" si="34"/>
        <v>7045.4545454545441</v>
      </c>
      <c r="P60" s="7">
        <v>0</v>
      </c>
      <c r="Q60" s="7">
        <f t="shared" si="34"/>
        <v>0</v>
      </c>
      <c r="R60" s="7">
        <f t="shared" si="34"/>
        <v>0</v>
      </c>
      <c r="S60" s="7">
        <f t="shared" si="34"/>
        <v>0</v>
      </c>
      <c r="T60" s="7">
        <v>0</v>
      </c>
      <c r="U60" s="7">
        <f t="shared" si="34"/>
        <v>0</v>
      </c>
      <c r="V60" s="7">
        <f t="shared" si="35"/>
        <v>0</v>
      </c>
      <c r="W60" s="7">
        <f t="shared" si="35"/>
        <v>3368766.5386785059</v>
      </c>
      <c r="X60" s="7">
        <f t="shared" si="35"/>
        <v>70162.126326048223</v>
      </c>
      <c r="Y60" s="7">
        <f t="shared" si="35"/>
        <v>0</v>
      </c>
      <c r="Z60" s="7">
        <f t="shared" si="35"/>
        <v>0</v>
      </c>
      <c r="AA60" s="7">
        <f t="shared" si="35"/>
        <v>0</v>
      </c>
      <c r="AB60" s="7">
        <f t="shared" si="35"/>
        <v>0</v>
      </c>
      <c r="AC60" s="7">
        <f t="shared" si="35"/>
        <v>0</v>
      </c>
      <c r="AD60" s="7">
        <f t="shared" si="35"/>
        <v>0</v>
      </c>
      <c r="AE60" s="7">
        <f t="shared" si="35"/>
        <v>0</v>
      </c>
      <c r="AF60" s="7">
        <f t="shared" si="35"/>
        <v>0</v>
      </c>
      <c r="AG60" s="7">
        <f t="shared" si="35"/>
        <v>0</v>
      </c>
      <c r="AH60" s="7">
        <v>0</v>
      </c>
    </row>
    <row r="61" spans="1:34" s="7" customFormat="1" x14ac:dyDescent="0.3">
      <c r="B61" s="7" t="s">
        <v>186</v>
      </c>
      <c r="C61" s="7" t="s">
        <v>146</v>
      </c>
      <c r="D61" s="7" t="s">
        <v>146</v>
      </c>
      <c r="E61" s="7">
        <f t="shared" si="36"/>
        <v>123.63630000000001</v>
      </c>
      <c r="F61" s="7">
        <f t="shared" si="34"/>
        <v>9.5908999999999995</v>
      </c>
      <c r="G61" s="7">
        <f t="shared" si="34"/>
        <v>61335.367435255437</v>
      </c>
      <c r="H61" s="7">
        <f t="shared" si="34"/>
        <v>1.1317999999999999</v>
      </c>
      <c r="I61" s="7">
        <v>0</v>
      </c>
      <c r="J61" s="7">
        <f t="shared" si="34"/>
        <v>0</v>
      </c>
      <c r="K61" s="7">
        <f t="shared" si="34"/>
        <v>0</v>
      </c>
      <c r="L61" s="7">
        <f t="shared" si="34"/>
        <v>0</v>
      </c>
      <c r="M61" s="7">
        <f t="shared" si="34"/>
        <v>0</v>
      </c>
      <c r="N61" s="7">
        <f t="shared" si="34"/>
        <v>300</v>
      </c>
      <c r="O61" s="7">
        <f t="shared" si="34"/>
        <v>704.54545454545439</v>
      </c>
      <c r="P61" s="7">
        <f t="shared" si="34"/>
        <v>0</v>
      </c>
      <c r="Q61" s="7">
        <f t="shared" si="34"/>
        <v>0</v>
      </c>
      <c r="R61" s="7">
        <f t="shared" si="34"/>
        <v>0</v>
      </c>
      <c r="S61" s="7">
        <f t="shared" si="34"/>
        <v>0</v>
      </c>
      <c r="T61" s="7">
        <f t="shared" si="34"/>
        <v>0</v>
      </c>
      <c r="U61" s="7">
        <f t="shared" si="34"/>
        <v>0</v>
      </c>
      <c r="V61" s="7">
        <f t="shared" si="35"/>
        <v>0</v>
      </c>
      <c r="W61" s="7">
        <f t="shared" si="35"/>
        <v>336876.6538678506</v>
      </c>
      <c r="X61" s="7">
        <f t="shared" si="35"/>
        <v>7016.2126326048219</v>
      </c>
      <c r="Y61" s="7">
        <f t="shared" si="35"/>
        <v>0</v>
      </c>
      <c r="Z61" s="7">
        <f t="shared" si="35"/>
        <v>0</v>
      </c>
      <c r="AA61" s="7">
        <f t="shared" si="35"/>
        <v>0</v>
      </c>
      <c r="AB61" s="7">
        <f t="shared" si="35"/>
        <v>0</v>
      </c>
      <c r="AC61" s="7">
        <f t="shared" si="35"/>
        <v>0</v>
      </c>
      <c r="AD61" s="7">
        <f t="shared" si="35"/>
        <v>0</v>
      </c>
      <c r="AE61" s="7">
        <f t="shared" si="35"/>
        <v>0</v>
      </c>
      <c r="AF61" s="7">
        <f t="shared" si="35"/>
        <v>0</v>
      </c>
      <c r="AG61" s="7">
        <f t="shared" si="35"/>
        <v>0</v>
      </c>
      <c r="AH61" s="7">
        <f t="shared" si="35"/>
        <v>0</v>
      </c>
    </row>
    <row r="62" spans="1:34" s="7" customFormat="1" x14ac:dyDescent="0.3">
      <c r="A62" s="7">
        <v>102</v>
      </c>
      <c r="B62" s="7" t="s">
        <v>131</v>
      </c>
      <c r="C62" s="7" t="s">
        <v>145</v>
      </c>
      <c r="D62" s="7" t="s">
        <v>151</v>
      </c>
      <c r="E62" s="7">
        <v>195454</v>
      </c>
      <c r="F62" s="7">
        <v>28181</v>
      </c>
      <c r="G62" s="7">
        <v>9254531.2397333235</v>
      </c>
      <c r="H62" s="7">
        <v>1813</v>
      </c>
      <c r="I62" s="7">
        <v>105454</v>
      </c>
      <c r="J62" s="7">
        <v>0</v>
      </c>
      <c r="K62" s="7">
        <v>0</v>
      </c>
      <c r="L62" s="7">
        <v>5</v>
      </c>
      <c r="M62" s="7">
        <v>0</v>
      </c>
      <c r="N62" s="7">
        <v>0</v>
      </c>
      <c r="O62" s="7">
        <v>60000000</v>
      </c>
      <c r="P62" s="7">
        <v>0</v>
      </c>
      <c r="Q62" s="7">
        <v>0</v>
      </c>
      <c r="R62" s="7">
        <v>0</v>
      </c>
      <c r="S62" s="7">
        <v>0</v>
      </c>
      <c r="T62" s="7">
        <v>14792002.106077507</v>
      </c>
      <c r="U62" s="7">
        <v>0</v>
      </c>
      <c r="V62" s="7">
        <v>479249755.27171636</v>
      </c>
      <c r="W62" s="7">
        <v>6929898959.8309479</v>
      </c>
      <c r="X62" s="7">
        <v>0</v>
      </c>
      <c r="Y62" s="7">
        <v>0</v>
      </c>
      <c r="Z62" s="7">
        <v>0</v>
      </c>
      <c r="AA62" s="7">
        <v>240000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24000</v>
      </c>
    </row>
    <row r="63" spans="1:34" s="7" customFormat="1" x14ac:dyDescent="0.3">
      <c r="B63" s="7" t="s">
        <v>189</v>
      </c>
      <c r="C63" s="7" t="s">
        <v>145</v>
      </c>
      <c r="D63" s="7" t="s">
        <v>151</v>
      </c>
      <c r="E63" s="7">
        <f>E62/10</f>
        <v>19545.400000000001</v>
      </c>
      <c r="F63" s="7">
        <f t="shared" ref="F63:U66" si="37">F62/10</f>
        <v>2818.1</v>
      </c>
      <c r="G63" s="7">
        <f t="shared" si="37"/>
        <v>925453.12397333235</v>
      </c>
      <c r="H63" s="7">
        <f t="shared" si="37"/>
        <v>181.3</v>
      </c>
      <c r="I63" s="7">
        <f t="shared" si="37"/>
        <v>10545.4</v>
      </c>
      <c r="J63" s="7">
        <f t="shared" si="37"/>
        <v>0</v>
      </c>
      <c r="K63" s="7">
        <f t="shared" si="37"/>
        <v>0</v>
      </c>
      <c r="L63" s="7">
        <v>0</v>
      </c>
      <c r="M63" s="7">
        <f t="shared" si="37"/>
        <v>0</v>
      </c>
      <c r="N63" s="7">
        <f t="shared" si="37"/>
        <v>0</v>
      </c>
      <c r="O63" s="7">
        <f t="shared" si="37"/>
        <v>6000000</v>
      </c>
      <c r="P63" s="7">
        <f t="shared" si="37"/>
        <v>0</v>
      </c>
      <c r="Q63" s="7">
        <f t="shared" si="37"/>
        <v>0</v>
      </c>
      <c r="R63" s="7">
        <f t="shared" si="37"/>
        <v>0</v>
      </c>
      <c r="S63" s="7">
        <f t="shared" si="37"/>
        <v>0</v>
      </c>
      <c r="T63" s="7">
        <f t="shared" si="37"/>
        <v>1479200.2106077508</v>
      </c>
      <c r="U63" s="7">
        <f t="shared" si="37"/>
        <v>0</v>
      </c>
      <c r="V63" s="7">
        <f t="shared" ref="V63:AH66" si="38">V62/10</f>
        <v>47924975.527171634</v>
      </c>
      <c r="W63" s="7">
        <f t="shared" si="38"/>
        <v>692989895.98309481</v>
      </c>
      <c r="X63" s="7">
        <f t="shared" si="38"/>
        <v>0</v>
      </c>
      <c r="Y63" s="7">
        <f t="shared" si="38"/>
        <v>0</v>
      </c>
      <c r="Z63" s="7">
        <f t="shared" si="38"/>
        <v>0</v>
      </c>
      <c r="AA63" s="7">
        <f t="shared" si="38"/>
        <v>24000</v>
      </c>
      <c r="AB63" s="7">
        <f t="shared" si="38"/>
        <v>0</v>
      </c>
      <c r="AC63" s="7">
        <f t="shared" si="38"/>
        <v>0</v>
      </c>
      <c r="AD63" s="7">
        <f t="shared" si="38"/>
        <v>0</v>
      </c>
      <c r="AE63" s="7">
        <f t="shared" si="38"/>
        <v>0</v>
      </c>
      <c r="AF63" s="7">
        <f t="shared" si="38"/>
        <v>0</v>
      </c>
      <c r="AG63" s="7">
        <f t="shared" si="38"/>
        <v>0</v>
      </c>
      <c r="AH63" s="7">
        <f t="shared" si="38"/>
        <v>2400</v>
      </c>
    </row>
    <row r="64" spans="1:34" s="7" customFormat="1" x14ac:dyDescent="0.3">
      <c r="B64" s="7" t="s">
        <v>187</v>
      </c>
      <c r="C64" s="7" t="s">
        <v>145</v>
      </c>
      <c r="D64" s="7" t="s">
        <v>151</v>
      </c>
      <c r="E64" s="7">
        <f t="shared" ref="E64:E66" si="39">E63/10</f>
        <v>1954.5400000000002</v>
      </c>
      <c r="F64" s="7">
        <f t="shared" si="37"/>
        <v>281.81</v>
      </c>
      <c r="G64" s="7">
        <f t="shared" si="37"/>
        <v>92545.31239733324</v>
      </c>
      <c r="H64" s="7">
        <f t="shared" si="37"/>
        <v>18.130000000000003</v>
      </c>
      <c r="I64" s="7">
        <f t="shared" si="37"/>
        <v>1054.54</v>
      </c>
      <c r="J64" s="7">
        <f t="shared" si="37"/>
        <v>0</v>
      </c>
      <c r="K64" s="7">
        <f t="shared" si="37"/>
        <v>0</v>
      </c>
      <c r="L64" s="7">
        <f t="shared" si="37"/>
        <v>0</v>
      </c>
      <c r="M64" s="7">
        <f t="shared" si="37"/>
        <v>0</v>
      </c>
      <c r="N64" s="7">
        <f t="shared" si="37"/>
        <v>0</v>
      </c>
      <c r="O64" s="7">
        <f t="shared" si="37"/>
        <v>600000</v>
      </c>
      <c r="P64" s="7">
        <f t="shared" si="37"/>
        <v>0</v>
      </c>
      <c r="Q64" s="7">
        <f t="shared" si="37"/>
        <v>0</v>
      </c>
      <c r="R64" s="7">
        <f t="shared" si="37"/>
        <v>0</v>
      </c>
      <c r="S64" s="7">
        <f t="shared" si="37"/>
        <v>0</v>
      </c>
      <c r="T64" s="7">
        <f t="shared" si="37"/>
        <v>147920.02106077509</v>
      </c>
      <c r="U64" s="7">
        <f t="shared" si="37"/>
        <v>0</v>
      </c>
      <c r="V64" s="7">
        <f t="shared" si="38"/>
        <v>4792497.5527171632</v>
      </c>
      <c r="W64" s="7">
        <f t="shared" si="38"/>
        <v>69298989.598309487</v>
      </c>
      <c r="X64" s="7">
        <f t="shared" si="38"/>
        <v>0</v>
      </c>
      <c r="Y64" s="7">
        <f t="shared" si="38"/>
        <v>0</v>
      </c>
      <c r="Z64" s="7">
        <f t="shared" si="38"/>
        <v>0</v>
      </c>
      <c r="AA64" s="7">
        <v>0</v>
      </c>
      <c r="AB64" s="7">
        <f t="shared" si="38"/>
        <v>0</v>
      </c>
      <c r="AC64" s="7">
        <f t="shared" si="38"/>
        <v>0</v>
      </c>
      <c r="AD64" s="7">
        <f t="shared" si="38"/>
        <v>0</v>
      </c>
      <c r="AE64" s="7">
        <f t="shared" si="38"/>
        <v>0</v>
      </c>
      <c r="AF64" s="7">
        <f t="shared" si="38"/>
        <v>0</v>
      </c>
      <c r="AG64" s="7">
        <f t="shared" si="38"/>
        <v>0</v>
      </c>
      <c r="AH64" s="7">
        <v>0</v>
      </c>
    </row>
    <row r="65" spans="1:34" s="7" customFormat="1" x14ac:dyDescent="0.3">
      <c r="B65" s="7" t="s">
        <v>188</v>
      </c>
      <c r="C65" s="7" t="s">
        <v>145</v>
      </c>
      <c r="D65" s="7" t="s">
        <v>151</v>
      </c>
      <c r="E65" s="7">
        <f t="shared" si="39"/>
        <v>195.45400000000001</v>
      </c>
      <c r="F65" s="7">
        <f t="shared" si="37"/>
        <v>28.181000000000001</v>
      </c>
      <c r="G65" s="7">
        <f t="shared" si="37"/>
        <v>9254.5312397333237</v>
      </c>
      <c r="H65" s="7">
        <f t="shared" si="37"/>
        <v>1.8130000000000002</v>
      </c>
      <c r="I65" s="7">
        <f t="shared" si="37"/>
        <v>105.45399999999999</v>
      </c>
      <c r="J65" s="7">
        <f t="shared" si="37"/>
        <v>0</v>
      </c>
      <c r="K65" s="7">
        <f t="shared" si="37"/>
        <v>0</v>
      </c>
      <c r="L65" s="7">
        <f t="shared" si="37"/>
        <v>0</v>
      </c>
      <c r="M65" s="7">
        <f t="shared" si="37"/>
        <v>0</v>
      </c>
      <c r="N65" s="7">
        <f t="shared" si="37"/>
        <v>0</v>
      </c>
      <c r="O65" s="7">
        <f t="shared" si="37"/>
        <v>60000</v>
      </c>
      <c r="P65" s="7">
        <f t="shared" si="37"/>
        <v>0</v>
      </c>
      <c r="Q65" s="7">
        <f t="shared" si="37"/>
        <v>0</v>
      </c>
      <c r="R65" s="7">
        <f t="shared" si="37"/>
        <v>0</v>
      </c>
      <c r="S65" s="7">
        <f t="shared" si="37"/>
        <v>0</v>
      </c>
      <c r="T65" s="7">
        <v>0</v>
      </c>
      <c r="U65" s="7">
        <f t="shared" si="37"/>
        <v>0</v>
      </c>
      <c r="V65" s="7">
        <f t="shared" si="38"/>
        <v>479249.75527171633</v>
      </c>
      <c r="W65" s="7">
        <f t="shared" si="38"/>
        <v>6929898.9598309491</v>
      </c>
      <c r="X65" s="7">
        <f t="shared" si="38"/>
        <v>0</v>
      </c>
      <c r="Y65" s="7">
        <f t="shared" si="38"/>
        <v>0</v>
      </c>
      <c r="Z65" s="7">
        <f t="shared" si="38"/>
        <v>0</v>
      </c>
      <c r="AA65" s="7">
        <f t="shared" si="38"/>
        <v>0</v>
      </c>
      <c r="AB65" s="7">
        <f t="shared" si="38"/>
        <v>0</v>
      </c>
      <c r="AC65" s="7">
        <f t="shared" si="38"/>
        <v>0</v>
      </c>
      <c r="AD65" s="7">
        <f t="shared" si="38"/>
        <v>0</v>
      </c>
      <c r="AE65" s="7">
        <f t="shared" si="38"/>
        <v>0</v>
      </c>
      <c r="AF65" s="7">
        <f t="shared" si="38"/>
        <v>0</v>
      </c>
      <c r="AG65" s="7">
        <f t="shared" si="38"/>
        <v>0</v>
      </c>
      <c r="AH65" s="7">
        <f t="shared" si="38"/>
        <v>0</v>
      </c>
    </row>
    <row r="66" spans="1:34" s="7" customFormat="1" x14ac:dyDescent="0.3">
      <c r="B66" s="7" t="s">
        <v>190</v>
      </c>
      <c r="C66" s="7" t="s">
        <v>145</v>
      </c>
      <c r="D66" s="7" t="s">
        <v>151</v>
      </c>
      <c r="E66" s="7">
        <f t="shared" si="39"/>
        <v>19.545400000000001</v>
      </c>
      <c r="F66" s="7">
        <f t="shared" si="37"/>
        <v>2.8181000000000003</v>
      </c>
      <c r="G66" s="7">
        <f t="shared" si="37"/>
        <v>925.45312397333237</v>
      </c>
      <c r="H66" s="7">
        <v>0</v>
      </c>
      <c r="I66" s="7">
        <f t="shared" si="37"/>
        <v>10.545399999999999</v>
      </c>
      <c r="J66" s="7">
        <f t="shared" si="37"/>
        <v>0</v>
      </c>
      <c r="K66" s="7">
        <f t="shared" si="37"/>
        <v>0</v>
      </c>
      <c r="L66" s="7">
        <f t="shared" si="37"/>
        <v>0</v>
      </c>
      <c r="M66" s="7">
        <f t="shared" si="37"/>
        <v>0</v>
      </c>
      <c r="N66" s="7">
        <f t="shared" si="37"/>
        <v>0</v>
      </c>
      <c r="O66" s="7">
        <f t="shared" si="37"/>
        <v>6000</v>
      </c>
      <c r="P66" s="7">
        <f t="shared" si="37"/>
        <v>0</v>
      </c>
      <c r="Q66" s="7">
        <f t="shared" si="37"/>
        <v>0</v>
      </c>
      <c r="R66" s="7">
        <f t="shared" si="37"/>
        <v>0</v>
      </c>
      <c r="S66" s="7">
        <f t="shared" si="37"/>
        <v>0</v>
      </c>
      <c r="T66" s="7">
        <f t="shared" si="37"/>
        <v>0</v>
      </c>
      <c r="U66" s="7">
        <f t="shared" si="37"/>
        <v>0</v>
      </c>
      <c r="V66" s="7">
        <f t="shared" si="38"/>
        <v>47924.975527171635</v>
      </c>
      <c r="W66" s="7">
        <f t="shared" si="38"/>
        <v>692989.89598309493</v>
      </c>
      <c r="X66" s="7">
        <f t="shared" si="38"/>
        <v>0</v>
      </c>
      <c r="Y66" s="7">
        <f t="shared" si="38"/>
        <v>0</v>
      </c>
      <c r="Z66" s="7">
        <f t="shared" si="38"/>
        <v>0</v>
      </c>
      <c r="AA66" s="7">
        <f t="shared" si="38"/>
        <v>0</v>
      </c>
      <c r="AB66" s="7">
        <f t="shared" si="38"/>
        <v>0</v>
      </c>
      <c r="AC66" s="7">
        <f t="shared" si="38"/>
        <v>0</v>
      </c>
      <c r="AD66" s="7">
        <f t="shared" si="38"/>
        <v>0</v>
      </c>
      <c r="AE66" s="7">
        <f t="shared" si="38"/>
        <v>0</v>
      </c>
      <c r="AF66" s="7">
        <f t="shared" si="38"/>
        <v>0</v>
      </c>
      <c r="AG66" s="7">
        <f t="shared" si="38"/>
        <v>0</v>
      </c>
      <c r="AH66" s="7">
        <f t="shared" si="38"/>
        <v>0</v>
      </c>
    </row>
    <row r="67" spans="1:34" s="7" customFormat="1" x14ac:dyDescent="0.3">
      <c r="A67" s="7">
        <v>106</v>
      </c>
      <c r="B67" s="7" t="s">
        <v>215</v>
      </c>
      <c r="C67" s="7" t="s">
        <v>146</v>
      </c>
      <c r="D67" s="7" t="s">
        <v>146</v>
      </c>
      <c r="E67" s="7">
        <v>995454</v>
      </c>
      <c r="F67" s="7">
        <v>95000</v>
      </c>
      <c r="G67" s="7">
        <v>1722606957.8844178</v>
      </c>
      <c r="H67" s="7">
        <v>10454</v>
      </c>
      <c r="I67" s="7">
        <v>237603</v>
      </c>
      <c r="J67" s="7">
        <v>5000</v>
      </c>
      <c r="K67" s="7">
        <v>0</v>
      </c>
      <c r="L67" s="7">
        <v>0</v>
      </c>
      <c r="M67" s="7">
        <v>505</v>
      </c>
      <c r="N67" s="7">
        <v>6818181.8181818174</v>
      </c>
      <c r="O67" s="7">
        <v>10909090.909090908</v>
      </c>
      <c r="P67" s="7">
        <v>122139.731228668</v>
      </c>
      <c r="Q67" s="7">
        <v>597915.70380333101</v>
      </c>
      <c r="R67" s="7">
        <v>0</v>
      </c>
      <c r="S67" s="7">
        <v>0</v>
      </c>
      <c r="T67" s="7">
        <v>12505381.924822116</v>
      </c>
      <c r="U67" s="7">
        <v>0</v>
      </c>
      <c r="V67" s="7">
        <v>0</v>
      </c>
      <c r="W67" s="7">
        <v>1334752598.9475982</v>
      </c>
      <c r="X67" s="7">
        <v>45445023.683248714</v>
      </c>
      <c r="Y67" s="7">
        <v>224000</v>
      </c>
      <c r="Z67" s="7">
        <v>0</v>
      </c>
      <c r="AA67" s="7">
        <v>0</v>
      </c>
      <c r="AB67" s="7">
        <v>0</v>
      </c>
      <c r="AC67" s="7">
        <v>560</v>
      </c>
      <c r="AD67" s="7">
        <v>210</v>
      </c>
      <c r="AE67" s="7">
        <v>0</v>
      </c>
      <c r="AF67" s="7">
        <v>180</v>
      </c>
      <c r="AG67" s="7">
        <v>212000</v>
      </c>
      <c r="AH67" s="7">
        <v>181600</v>
      </c>
    </row>
    <row r="68" spans="1:34" s="7" customFormat="1" x14ac:dyDescent="0.3">
      <c r="B68" s="7" t="s">
        <v>216</v>
      </c>
      <c r="C68" s="7" t="s">
        <v>146</v>
      </c>
      <c r="D68" s="7" t="s">
        <v>146</v>
      </c>
      <c r="E68" s="7">
        <f>E67/10</f>
        <v>99545.4</v>
      </c>
      <c r="F68" s="7">
        <f t="shared" ref="F68:U71" si="40">F67/10</f>
        <v>9500</v>
      </c>
      <c r="G68" s="7">
        <f t="shared" si="40"/>
        <v>172260695.78844178</v>
      </c>
      <c r="H68" s="7">
        <f t="shared" si="40"/>
        <v>1045.4000000000001</v>
      </c>
      <c r="I68" s="7">
        <f t="shared" si="40"/>
        <v>23760.3</v>
      </c>
      <c r="J68" s="7">
        <f t="shared" si="40"/>
        <v>500</v>
      </c>
      <c r="K68" s="7">
        <f t="shared" si="40"/>
        <v>0</v>
      </c>
      <c r="L68" s="7">
        <f t="shared" si="40"/>
        <v>0</v>
      </c>
      <c r="M68" s="7">
        <f t="shared" si="40"/>
        <v>50.5</v>
      </c>
      <c r="N68" s="7">
        <f t="shared" si="40"/>
        <v>681818.18181818177</v>
      </c>
      <c r="O68" s="7">
        <f t="shared" si="40"/>
        <v>1090909.0909090908</v>
      </c>
      <c r="P68" s="7">
        <v>0</v>
      </c>
      <c r="Q68" s="7">
        <f t="shared" si="40"/>
        <v>59791.570380333098</v>
      </c>
      <c r="R68" s="7">
        <f t="shared" si="40"/>
        <v>0</v>
      </c>
      <c r="S68" s="7">
        <f t="shared" si="40"/>
        <v>0</v>
      </c>
      <c r="T68" s="7">
        <f t="shared" si="40"/>
        <v>1250538.1924822116</v>
      </c>
      <c r="U68" s="7">
        <f t="shared" si="40"/>
        <v>0</v>
      </c>
      <c r="V68" s="7">
        <f t="shared" ref="V68:AH71" si="41">V67/10</f>
        <v>0</v>
      </c>
      <c r="W68" s="7">
        <f t="shared" si="41"/>
        <v>133475259.89475982</v>
      </c>
      <c r="X68" s="7">
        <f t="shared" si="41"/>
        <v>4544502.3683248712</v>
      </c>
      <c r="Y68" s="7">
        <f t="shared" si="41"/>
        <v>22400</v>
      </c>
      <c r="Z68" s="7">
        <f t="shared" si="41"/>
        <v>0</v>
      </c>
      <c r="AA68" s="7">
        <f t="shared" si="41"/>
        <v>0</v>
      </c>
      <c r="AB68" s="7">
        <f t="shared" si="41"/>
        <v>0</v>
      </c>
      <c r="AC68" s="7">
        <f t="shared" si="41"/>
        <v>56</v>
      </c>
      <c r="AD68" s="7">
        <v>0</v>
      </c>
      <c r="AE68" s="7">
        <f t="shared" si="41"/>
        <v>0</v>
      </c>
      <c r="AF68" s="7">
        <v>0</v>
      </c>
      <c r="AG68" s="7">
        <v>0</v>
      </c>
      <c r="AH68" s="7">
        <f t="shared" si="41"/>
        <v>18160</v>
      </c>
    </row>
    <row r="69" spans="1:34" s="7" customFormat="1" x14ac:dyDescent="0.3">
      <c r="B69" s="7" t="s">
        <v>217</v>
      </c>
      <c r="C69" s="7" t="s">
        <v>146</v>
      </c>
      <c r="D69" s="7" t="s">
        <v>146</v>
      </c>
      <c r="E69" s="7">
        <f t="shared" ref="E69:E71" si="42">E68/10</f>
        <v>9954.5399999999991</v>
      </c>
      <c r="F69" s="7">
        <f t="shared" si="40"/>
        <v>950</v>
      </c>
      <c r="G69" s="7">
        <f t="shared" si="40"/>
        <v>17226069.578844178</v>
      </c>
      <c r="H69" s="7">
        <f t="shared" si="40"/>
        <v>104.54</v>
      </c>
      <c r="I69" s="7">
        <f t="shared" si="40"/>
        <v>2376.0299999999997</v>
      </c>
      <c r="J69" s="7">
        <f t="shared" si="40"/>
        <v>50</v>
      </c>
      <c r="K69" s="7">
        <f t="shared" si="40"/>
        <v>0</v>
      </c>
      <c r="L69" s="7">
        <f t="shared" si="40"/>
        <v>0</v>
      </c>
      <c r="M69" s="7">
        <f t="shared" si="40"/>
        <v>5.05</v>
      </c>
      <c r="N69" s="7">
        <f t="shared" si="40"/>
        <v>68181.818181818177</v>
      </c>
      <c r="O69" s="7">
        <f t="shared" si="40"/>
        <v>109090.90909090909</v>
      </c>
      <c r="P69" s="7">
        <f t="shared" si="40"/>
        <v>0</v>
      </c>
      <c r="Q69" s="7">
        <v>0</v>
      </c>
      <c r="R69" s="7">
        <f t="shared" si="40"/>
        <v>0</v>
      </c>
      <c r="S69" s="7">
        <f t="shared" si="40"/>
        <v>0</v>
      </c>
      <c r="T69" s="7">
        <f t="shared" si="40"/>
        <v>125053.81924822116</v>
      </c>
      <c r="U69" s="7">
        <f t="shared" si="40"/>
        <v>0</v>
      </c>
      <c r="V69" s="7">
        <f t="shared" si="41"/>
        <v>0</v>
      </c>
      <c r="W69" s="7">
        <f t="shared" si="41"/>
        <v>13347525.989475982</v>
      </c>
      <c r="X69" s="7">
        <f t="shared" si="41"/>
        <v>454450.23683248711</v>
      </c>
      <c r="Y69" s="7">
        <v>0</v>
      </c>
      <c r="Z69" s="7">
        <f t="shared" si="41"/>
        <v>0</v>
      </c>
      <c r="AA69" s="7">
        <f t="shared" si="41"/>
        <v>0</v>
      </c>
      <c r="AB69" s="7">
        <f t="shared" si="41"/>
        <v>0</v>
      </c>
      <c r="AC69" s="7">
        <v>0</v>
      </c>
      <c r="AD69" s="7">
        <f t="shared" si="41"/>
        <v>0</v>
      </c>
      <c r="AE69" s="7">
        <f t="shared" si="41"/>
        <v>0</v>
      </c>
      <c r="AF69" s="7">
        <f t="shared" si="41"/>
        <v>0</v>
      </c>
      <c r="AG69" s="7">
        <f t="shared" si="41"/>
        <v>0</v>
      </c>
      <c r="AH69" s="7">
        <f t="shared" si="41"/>
        <v>1816</v>
      </c>
    </row>
    <row r="70" spans="1:34" s="7" customFormat="1" x14ac:dyDescent="0.3">
      <c r="B70" s="7" t="s">
        <v>218</v>
      </c>
      <c r="C70" s="7" t="s">
        <v>146</v>
      </c>
      <c r="D70" s="7" t="s">
        <v>146</v>
      </c>
      <c r="E70" s="7">
        <f t="shared" si="42"/>
        <v>995.45399999999995</v>
      </c>
      <c r="F70" s="7">
        <f t="shared" si="40"/>
        <v>95</v>
      </c>
      <c r="G70" s="7">
        <f t="shared" si="40"/>
        <v>1722606.9578844178</v>
      </c>
      <c r="H70" s="7">
        <f t="shared" si="40"/>
        <v>10.454000000000001</v>
      </c>
      <c r="I70" s="7">
        <f t="shared" si="40"/>
        <v>237.60299999999998</v>
      </c>
      <c r="J70" s="7">
        <f t="shared" si="40"/>
        <v>5</v>
      </c>
      <c r="K70" s="7">
        <f t="shared" si="40"/>
        <v>0</v>
      </c>
      <c r="L70" s="7">
        <f t="shared" si="40"/>
        <v>0</v>
      </c>
      <c r="M70" s="7">
        <v>0</v>
      </c>
      <c r="N70" s="7">
        <f t="shared" si="40"/>
        <v>6818.181818181818</v>
      </c>
      <c r="O70" s="7">
        <f t="shared" si="40"/>
        <v>10909.090909090908</v>
      </c>
      <c r="P70" s="7">
        <f t="shared" si="40"/>
        <v>0</v>
      </c>
      <c r="Q70" s="7">
        <f t="shared" si="40"/>
        <v>0</v>
      </c>
      <c r="R70" s="7">
        <f t="shared" si="40"/>
        <v>0</v>
      </c>
      <c r="S70" s="7">
        <f t="shared" si="40"/>
        <v>0</v>
      </c>
      <c r="T70" s="7">
        <v>0</v>
      </c>
      <c r="U70" s="7">
        <f t="shared" si="40"/>
        <v>0</v>
      </c>
      <c r="V70" s="7">
        <f t="shared" si="41"/>
        <v>0</v>
      </c>
      <c r="W70" s="7">
        <f t="shared" si="41"/>
        <v>1334752.5989475981</v>
      </c>
      <c r="X70" s="7">
        <f t="shared" si="41"/>
        <v>45445.023683248713</v>
      </c>
      <c r="Y70" s="7">
        <f t="shared" si="41"/>
        <v>0</v>
      </c>
      <c r="Z70" s="7">
        <f t="shared" si="41"/>
        <v>0</v>
      </c>
      <c r="AA70" s="7">
        <f t="shared" si="41"/>
        <v>0</v>
      </c>
      <c r="AB70" s="7">
        <f t="shared" si="41"/>
        <v>0</v>
      </c>
      <c r="AC70" s="7">
        <f t="shared" si="41"/>
        <v>0</v>
      </c>
      <c r="AD70" s="7">
        <f t="shared" si="41"/>
        <v>0</v>
      </c>
      <c r="AE70" s="7">
        <f t="shared" si="41"/>
        <v>0</v>
      </c>
      <c r="AF70" s="7">
        <f t="shared" si="41"/>
        <v>0</v>
      </c>
      <c r="AG70" s="7">
        <f t="shared" si="41"/>
        <v>0</v>
      </c>
      <c r="AH70" s="7">
        <v>0</v>
      </c>
    </row>
    <row r="71" spans="1:34" s="7" customFormat="1" x14ac:dyDescent="0.3">
      <c r="B71" s="7" t="s">
        <v>219</v>
      </c>
      <c r="C71" s="7" t="s">
        <v>146</v>
      </c>
      <c r="D71" s="7" t="s">
        <v>146</v>
      </c>
      <c r="E71" s="7">
        <f t="shared" si="42"/>
        <v>99.545400000000001</v>
      </c>
      <c r="F71" s="7">
        <f t="shared" si="40"/>
        <v>9.5</v>
      </c>
      <c r="G71" s="7">
        <f t="shared" si="40"/>
        <v>172260.69578844178</v>
      </c>
      <c r="H71" s="7">
        <f t="shared" si="40"/>
        <v>1.0454000000000001</v>
      </c>
      <c r="I71" s="7">
        <f t="shared" si="40"/>
        <v>23.760299999999997</v>
      </c>
      <c r="J71" s="7">
        <v>0</v>
      </c>
      <c r="K71" s="7">
        <f t="shared" si="40"/>
        <v>0</v>
      </c>
      <c r="L71" s="7">
        <f t="shared" si="40"/>
        <v>0</v>
      </c>
      <c r="M71" s="7">
        <f t="shared" si="40"/>
        <v>0</v>
      </c>
      <c r="N71" s="7">
        <f t="shared" si="40"/>
        <v>681.81818181818176</v>
      </c>
      <c r="O71" s="7">
        <f t="shared" si="40"/>
        <v>1090.9090909090908</v>
      </c>
      <c r="P71" s="7">
        <f t="shared" si="40"/>
        <v>0</v>
      </c>
      <c r="Q71" s="7">
        <f t="shared" si="40"/>
        <v>0</v>
      </c>
      <c r="R71" s="7">
        <f t="shared" si="40"/>
        <v>0</v>
      </c>
      <c r="S71" s="7">
        <f t="shared" si="40"/>
        <v>0</v>
      </c>
      <c r="T71" s="7">
        <f t="shared" si="40"/>
        <v>0</v>
      </c>
      <c r="U71" s="7">
        <f t="shared" si="40"/>
        <v>0</v>
      </c>
      <c r="V71" s="7">
        <f t="shared" si="41"/>
        <v>0</v>
      </c>
      <c r="W71" s="7">
        <f t="shared" si="41"/>
        <v>133475.2598947598</v>
      </c>
      <c r="X71" s="7">
        <f t="shared" si="41"/>
        <v>4544.502368324871</v>
      </c>
      <c r="Y71" s="7">
        <f t="shared" si="41"/>
        <v>0</v>
      </c>
      <c r="Z71" s="7">
        <f t="shared" si="41"/>
        <v>0</v>
      </c>
      <c r="AA71" s="7">
        <f t="shared" si="41"/>
        <v>0</v>
      </c>
      <c r="AB71" s="7">
        <f t="shared" si="41"/>
        <v>0</v>
      </c>
      <c r="AC71" s="7">
        <f t="shared" si="41"/>
        <v>0</v>
      </c>
      <c r="AD71" s="7">
        <f t="shared" si="41"/>
        <v>0</v>
      </c>
      <c r="AE71" s="7">
        <f t="shared" si="41"/>
        <v>0</v>
      </c>
      <c r="AF71" s="7">
        <f t="shared" si="41"/>
        <v>0</v>
      </c>
      <c r="AG71" s="7">
        <f t="shared" si="41"/>
        <v>0</v>
      </c>
      <c r="AH71" s="7">
        <f t="shared" si="41"/>
        <v>0</v>
      </c>
    </row>
    <row r="72" spans="1:34" s="7" customFormat="1" x14ac:dyDescent="0.3">
      <c r="A72" s="7">
        <v>110</v>
      </c>
      <c r="B72" s="7" t="s">
        <v>139</v>
      </c>
      <c r="C72" s="7" t="s">
        <v>146</v>
      </c>
      <c r="D72" s="7" t="s">
        <v>146</v>
      </c>
      <c r="E72" s="7">
        <v>1000000</v>
      </c>
      <c r="F72" s="7">
        <v>92000</v>
      </c>
      <c r="G72" s="7">
        <v>264600488.91340542</v>
      </c>
      <c r="H72" s="7">
        <v>2700</v>
      </c>
      <c r="I72" s="7">
        <v>200000</v>
      </c>
      <c r="J72" s="7">
        <v>9400</v>
      </c>
      <c r="K72" s="7">
        <v>0</v>
      </c>
      <c r="L72" s="7">
        <v>0</v>
      </c>
      <c r="M72" s="7">
        <v>35</v>
      </c>
      <c r="N72" s="7">
        <v>5800000</v>
      </c>
      <c r="O72" s="7">
        <v>8200000</v>
      </c>
      <c r="P72" s="7">
        <v>5631135.2698009498</v>
      </c>
      <c r="Q72" s="7">
        <v>0</v>
      </c>
      <c r="R72" s="7">
        <v>2006790.1467098286</v>
      </c>
      <c r="S72" s="7">
        <v>0</v>
      </c>
      <c r="T72" s="7">
        <v>41040907.936560571</v>
      </c>
      <c r="U72" s="7">
        <v>0</v>
      </c>
      <c r="V72" s="7">
        <v>0</v>
      </c>
      <c r="W72" s="7">
        <v>1412435435.6240182</v>
      </c>
      <c r="X72" s="7">
        <v>35350147.255879134</v>
      </c>
      <c r="Y72" s="7">
        <v>276000</v>
      </c>
      <c r="Z72" s="7">
        <v>0</v>
      </c>
      <c r="AA72" s="7">
        <v>0</v>
      </c>
      <c r="AB72" s="7">
        <v>0</v>
      </c>
      <c r="AC72" s="7">
        <v>540</v>
      </c>
      <c r="AD72" s="7">
        <v>320</v>
      </c>
      <c r="AE72" s="7">
        <v>0</v>
      </c>
      <c r="AF72" s="7">
        <v>240</v>
      </c>
      <c r="AG72" s="7">
        <v>700000</v>
      </c>
      <c r="AH72" s="7">
        <v>31600</v>
      </c>
    </row>
    <row r="73" spans="1:34" s="7" customFormat="1" x14ac:dyDescent="0.3">
      <c r="B73" s="7" t="s">
        <v>191</v>
      </c>
      <c r="C73" s="7" t="s">
        <v>146</v>
      </c>
      <c r="D73" s="7" t="s">
        <v>146</v>
      </c>
      <c r="E73" s="7">
        <f>E72/10</f>
        <v>100000</v>
      </c>
      <c r="F73" s="7">
        <f t="shared" ref="F73:U76" si="43">F72/10</f>
        <v>9200</v>
      </c>
      <c r="G73" s="7">
        <f t="shared" si="43"/>
        <v>26460048.891340543</v>
      </c>
      <c r="H73" s="7">
        <f t="shared" si="43"/>
        <v>270</v>
      </c>
      <c r="I73" s="7">
        <f t="shared" si="43"/>
        <v>20000</v>
      </c>
      <c r="J73" s="7">
        <f t="shared" si="43"/>
        <v>940</v>
      </c>
      <c r="K73" s="7">
        <f t="shared" si="43"/>
        <v>0</v>
      </c>
      <c r="L73" s="7">
        <f t="shared" si="43"/>
        <v>0</v>
      </c>
      <c r="M73" s="7">
        <v>0</v>
      </c>
      <c r="N73" s="7">
        <f t="shared" si="43"/>
        <v>580000</v>
      </c>
      <c r="O73" s="7">
        <f t="shared" si="43"/>
        <v>820000</v>
      </c>
      <c r="P73" s="7">
        <f t="shared" si="43"/>
        <v>563113.52698009496</v>
      </c>
      <c r="Q73" s="7">
        <f t="shared" si="43"/>
        <v>0</v>
      </c>
      <c r="R73" s="7">
        <f t="shared" si="43"/>
        <v>200679.01467098287</v>
      </c>
      <c r="S73" s="7">
        <f t="shared" si="43"/>
        <v>0</v>
      </c>
      <c r="T73" s="7">
        <f t="shared" si="43"/>
        <v>4104090.7936560572</v>
      </c>
      <c r="U73" s="7">
        <f t="shared" si="43"/>
        <v>0</v>
      </c>
      <c r="V73" s="7">
        <f t="shared" ref="V73:AH76" si="44">V72/10</f>
        <v>0</v>
      </c>
      <c r="W73" s="7">
        <f t="shared" si="44"/>
        <v>141243543.56240183</v>
      </c>
      <c r="X73" s="7">
        <f t="shared" si="44"/>
        <v>3535014.7255879133</v>
      </c>
      <c r="Y73" s="7">
        <f t="shared" si="44"/>
        <v>27600</v>
      </c>
      <c r="Z73" s="7">
        <f t="shared" si="44"/>
        <v>0</v>
      </c>
      <c r="AA73" s="7">
        <f t="shared" si="44"/>
        <v>0</v>
      </c>
      <c r="AB73" s="7">
        <f t="shared" si="44"/>
        <v>0</v>
      </c>
      <c r="AC73" s="7">
        <f t="shared" si="44"/>
        <v>54</v>
      </c>
      <c r="AD73" s="7">
        <v>0</v>
      </c>
      <c r="AE73" s="7">
        <f t="shared" si="44"/>
        <v>0</v>
      </c>
      <c r="AF73" s="7">
        <v>0</v>
      </c>
      <c r="AG73" s="7">
        <f t="shared" si="44"/>
        <v>70000</v>
      </c>
      <c r="AH73" s="7">
        <f t="shared" si="44"/>
        <v>3160</v>
      </c>
    </row>
    <row r="74" spans="1:34" s="7" customFormat="1" x14ac:dyDescent="0.3">
      <c r="B74" s="7" t="s">
        <v>192</v>
      </c>
      <c r="C74" s="7" t="s">
        <v>146</v>
      </c>
      <c r="D74" s="7" t="s">
        <v>146</v>
      </c>
      <c r="E74" s="7">
        <f t="shared" ref="E74:E76" si="45">E73/10</f>
        <v>10000</v>
      </c>
      <c r="F74" s="7">
        <f t="shared" si="43"/>
        <v>920</v>
      </c>
      <c r="G74" s="7">
        <f t="shared" si="43"/>
        <v>2646004.8891340541</v>
      </c>
      <c r="H74" s="7">
        <f t="shared" si="43"/>
        <v>27</v>
      </c>
      <c r="I74" s="7">
        <f t="shared" si="43"/>
        <v>2000</v>
      </c>
      <c r="J74" s="7">
        <f t="shared" si="43"/>
        <v>94</v>
      </c>
      <c r="K74" s="7">
        <f t="shared" si="43"/>
        <v>0</v>
      </c>
      <c r="L74" s="7">
        <f t="shared" si="43"/>
        <v>0</v>
      </c>
      <c r="M74" s="7">
        <f t="shared" si="43"/>
        <v>0</v>
      </c>
      <c r="N74" s="7">
        <f t="shared" si="43"/>
        <v>58000</v>
      </c>
      <c r="O74" s="7">
        <f t="shared" si="43"/>
        <v>82000</v>
      </c>
      <c r="P74" s="7">
        <v>0</v>
      </c>
      <c r="Q74" s="7">
        <f t="shared" si="43"/>
        <v>0</v>
      </c>
      <c r="R74" s="7">
        <v>0</v>
      </c>
      <c r="S74" s="7">
        <f t="shared" si="43"/>
        <v>0</v>
      </c>
      <c r="T74" s="7">
        <f t="shared" si="43"/>
        <v>410409.07936560572</v>
      </c>
      <c r="U74" s="7">
        <f t="shared" si="43"/>
        <v>0</v>
      </c>
      <c r="V74" s="7">
        <f t="shared" si="44"/>
        <v>0</v>
      </c>
      <c r="W74" s="7">
        <f t="shared" si="44"/>
        <v>14124354.356240183</v>
      </c>
      <c r="X74" s="7">
        <f t="shared" si="44"/>
        <v>353501.47255879134</v>
      </c>
      <c r="Y74" s="7">
        <v>0</v>
      </c>
      <c r="Z74" s="7">
        <f t="shared" si="44"/>
        <v>0</v>
      </c>
      <c r="AA74" s="7">
        <f t="shared" si="44"/>
        <v>0</v>
      </c>
      <c r="AB74" s="7">
        <f t="shared" si="44"/>
        <v>0</v>
      </c>
      <c r="AC74" s="7">
        <v>0</v>
      </c>
      <c r="AD74" s="7">
        <f t="shared" si="44"/>
        <v>0</v>
      </c>
      <c r="AE74" s="7">
        <f t="shared" si="44"/>
        <v>0</v>
      </c>
      <c r="AF74" s="7">
        <f t="shared" si="44"/>
        <v>0</v>
      </c>
      <c r="AG74" s="7">
        <v>0</v>
      </c>
      <c r="AH74" s="7">
        <v>0</v>
      </c>
    </row>
    <row r="75" spans="1:34" s="7" customFormat="1" x14ac:dyDescent="0.3">
      <c r="B75" s="7" t="s">
        <v>193</v>
      </c>
      <c r="C75" s="7" t="s">
        <v>146</v>
      </c>
      <c r="D75" s="7" t="s">
        <v>146</v>
      </c>
      <c r="E75" s="7">
        <f t="shared" si="45"/>
        <v>1000</v>
      </c>
      <c r="F75" s="7">
        <f t="shared" si="43"/>
        <v>92</v>
      </c>
      <c r="G75" s="7">
        <f t="shared" si="43"/>
        <v>264600.4889134054</v>
      </c>
      <c r="H75" s="7">
        <f t="shared" si="43"/>
        <v>2.7</v>
      </c>
      <c r="I75" s="7">
        <f t="shared" si="43"/>
        <v>200</v>
      </c>
      <c r="J75" s="7">
        <f t="shared" si="43"/>
        <v>9.4</v>
      </c>
      <c r="K75" s="7">
        <f t="shared" si="43"/>
        <v>0</v>
      </c>
      <c r="L75" s="7">
        <f t="shared" si="43"/>
        <v>0</v>
      </c>
      <c r="M75" s="7">
        <f t="shared" si="43"/>
        <v>0</v>
      </c>
      <c r="N75" s="7">
        <f t="shared" si="43"/>
        <v>5800</v>
      </c>
      <c r="O75" s="7">
        <f t="shared" si="43"/>
        <v>8200</v>
      </c>
      <c r="P75" s="7">
        <f t="shared" si="43"/>
        <v>0</v>
      </c>
      <c r="Q75" s="7">
        <f t="shared" si="43"/>
        <v>0</v>
      </c>
      <c r="R75" s="7">
        <f t="shared" si="43"/>
        <v>0</v>
      </c>
      <c r="S75" s="7">
        <f t="shared" si="43"/>
        <v>0</v>
      </c>
      <c r="T75" s="7">
        <v>0</v>
      </c>
      <c r="U75" s="7">
        <f t="shared" si="43"/>
        <v>0</v>
      </c>
      <c r="V75" s="7">
        <f t="shared" si="44"/>
        <v>0</v>
      </c>
      <c r="W75" s="7">
        <f t="shared" si="44"/>
        <v>1412435.4356240183</v>
      </c>
      <c r="X75" s="7">
        <f t="shared" si="44"/>
        <v>35350.147255879136</v>
      </c>
      <c r="Y75" s="7">
        <f t="shared" si="44"/>
        <v>0</v>
      </c>
      <c r="Z75" s="7">
        <f t="shared" si="44"/>
        <v>0</v>
      </c>
      <c r="AA75" s="7">
        <f t="shared" si="44"/>
        <v>0</v>
      </c>
      <c r="AB75" s="7">
        <f t="shared" si="44"/>
        <v>0</v>
      </c>
      <c r="AC75" s="7">
        <f t="shared" si="44"/>
        <v>0</v>
      </c>
      <c r="AD75" s="7">
        <f t="shared" si="44"/>
        <v>0</v>
      </c>
      <c r="AE75" s="7">
        <f t="shared" si="44"/>
        <v>0</v>
      </c>
      <c r="AF75" s="7">
        <f t="shared" si="44"/>
        <v>0</v>
      </c>
      <c r="AG75" s="7">
        <f t="shared" si="44"/>
        <v>0</v>
      </c>
      <c r="AH75" s="7">
        <f t="shared" si="44"/>
        <v>0</v>
      </c>
    </row>
    <row r="76" spans="1:34" s="7" customFormat="1" x14ac:dyDescent="0.3">
      <c r="B76" s="7" t="s">
        <v>194</v>
      </c>
      <c r="C76" s="7" t="s">
        <v>146</v>
      </c>
      <c r="D76" s="7" t="s">
        <v>146</v>
      </c>
      <c r="E76" s="7">
        <f t="shared" si="45"/>
        <v>100</v>
      </c>
      <c r="F76" s="7">
        <f t="shared" si="43"/>
        <v>9.1999999999999993</v>
      </c>
      <c r="G76" s="7">
        <f t="shared" si="43"/>
        <v>26460.048891340539</v>
      </c>
      <c r="H76" s="7">
        <v>0</v>
      </c>
      <c r="I76" s="7">
        <f t="shared" si="43"/>
        <v>20</v>
      </c>
      <c r="J76" s="7">
        <v>0</v>
      </c>
      <c r="K76" s="7">
        <f t="shared" si="43"/>
        <v>0</v>
      </c>
      <c r="L76" s="7">
        <f t="shared" si="43"/>
        <v>0</v>
      </c>
      <c r="M76" s="7">
        <f t="shared" si="43"/>
        <v>0</v>
      </c>
      <c r="N76" s="7">
        <f t="shared" si="43"/>
        <v>580</v>
      </c>
      <c r="O76" s="7">
        <f t="shared" si="43"/>
        <v>820</v>
      </c>
      <c r="P76" s="7">
        <f t="shared" si="43"/>
        <v>0</v>
      </c>
      <c r="Q76" s="7">
        <f t="shared" si="43"/>
        <v>0</v>
      </c>
      <c r="R76" s="7">
        <f t="shared" si="43"/>
        <v>0</v>
      </c>
      <c r="S76" s="7">
        <f t="shared" si="43"/>
        <v>0</v>
      </c>
      <c r="T76" s="7">
        <f t="shared" si="43"/>
        <v>0</v>
      </c>
      <c r="U76" s="7">
        <f t="shared" si="43"/>
        <v>0</v>
      </c>
      <c r="V76" s="7">
        <f t="shared" si="44"/>
        <v>0</v>
      </c>
      <c r="W76" s="7">
        <f t="shared" si="44"/>
        <v>141243.54356240184</v>
      </c>
      <c r="X76" s="7">
        <f t="shared" si="44"/>
        <v>3535.0147255879137</v>
      </c>
      <c r="Y76" s="7">
        <f t="shared" si="44"/>
        <v>0</v>
      </c>
      <c r="Z76" s="7">
        <f t="shared" si="44"/>
        <v>0</v>
      </c>
      <c r="AA76" s="7">
        <f t="shared" si="44"/>
        <v>0</v>
      </c>
      <c r="AB76" s="7">
        <f t="shared" si="44"/>
        <v>0</v>
      </c>
      <c r="AC76" s="7">
        <f t="shared" si="44"/>
        <v>0</v>
      </c>
      <c r="AD76" s="7">
        <f t="shared" si="44"/>
        <v>0</v>
      </c>
      <c r="AE76" s="7">
        <f t="shared" si="44"/>
        <v>0</v>
      </c>
      <c r="AF76" s="7">
        <f t="shared" si="44"/>
        <v>0</v>
      </c>
      <c r="AG76" s="7">
        <f t="shared" si="44"/>
        <v>0</v>
      </c>
      <c r="AH76" s="7">
        <f t="shared" si="44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5B43-C7C7-4924-9C28-1B42F466AC40}">
  <dimension ref="A1:W76"/>
  <sheetViews>
    <sheetView workbookViewId="0">
      <selection sqref="A1:XFD1048576"/>
    </sheetView>
  </sheetViews>
  <sheetFormatPr baseColWidth="10" defaultRowHeight="14.4" x14ac:dyDescent="0.3"/>
  <cols>
    <col min="1" max="1" width="14.33203125" style="3" bestFit="1" customWidth="1"/>
    <col min="2" max="5" width="11.6640625" style="3" bestFit="1" customWidth="1"/>
    <col min="6" max="6" width="13.44140625" style="3" bestFit="1" customWidth="1"/>
    <col min="7" max="8" width="12.44140625" style="3" bestFit="1" customWidth="1"/>
    <col min="9" max="9" width="11.6640625" style="3" bestFit="1" customWidth="1"/>
    <col min="10" max="10" width="12.44140625" style="3" bestFit="1" customWidth="1"/>
    <col min="11" max="12" width="15.44140625" style="3" bestFit="1" customWidth="1"/>
    <col min="13" max="14" width="12.44140625" style="3" bestFit="1" customWidth="1"/>
    <col min="15" max="17" width="13.44140625" style="3" bestFit="1" customWidth="1"/>
    <col min="18" max="23" width="11.6640625" style="3" bestFit="1" customWidth="1"/>
    <col min="24" max="16384" width="11.5546875" style="3"/>
  </cols>
  <sheetData>
    <row r="1" spans="1:23" x14ac:dyDescent="0.3">
      <c r="A1" s="3" t="s">
        <v>149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18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s="7" customFormat="1" x14ac:dyDescent="0.3">
      <c r="A2" s="7" t="s">
        <v>33</v>
      </c>
      <c r="B2" s="7">
        <v>1154.5454545454545</v>
      </c>
      <c r="C2" s="7">
        <v>0</v>
      </c>
      <c r="D2" s="7">
        <v>1300</v>
      </c>
      <c r="E2" s="7">
        <v>30</v>
      </c>
      <c r="F2" s="7">
        <v>10000</v>
      </c>
      <c r="G2" s="7">
        <v>30100000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5974482.5459294254</v>
      </c>
      <c r="N2" s="7">
        <v>183000</v>
      </c>
      <c r="O2" s="7">
        <v>0</v>
      </c>
      <c r="P2" s="7">
        <v>0</v>
      </c>
      <c r="Q2" s="7">
        <v>0</v>
      </c>
      <c r="R2" s="7">
        <v>390</v>
      </c>
      <c r="S2" s="7">
        <v>1240</v>
      </c>
      <c r="T2" s="7">
        <v>0</v>
      </c>
      <c r="U2" s="7">
        <v>430</v>
      </c>
      <c r="V2" s="7">
        <v>130000</v>
      </c>
      <c r="W2" s="7">
        <v>91200</v>
      </c>
    </row>
    <row r="3" spans="1:23" s="7" customFormat="1" x14ac:dyDescent="0.3">
      <c r="A3" s="7" t="s">
        <v>155</v>
      </c>
      <c r="B3" s="7">
        <f t="shared" ref="B3:W6" si="0">B2/10</f>
        <v>115.45454545454545</v>
      </c>
      <c r="C3" s="7">
        <f t="shared" si="0"/>
        <v>0</v>
      </c>
      <c r="D3" s="7">
        <f t="shared" si="0"/>
        <v>130</v>
      </c>
      <c r="E3" s="7">
        <v>0</v>
      </c>
      <c r="F3" s="7">
        <f t="shared" si="0"/>
        <v>1000</v>
      </c>
      <c r="G3" s="7">
        <f t="shared" si="0"/>
        <v>3010000</v>
      </c>
      <c r="H3" s="7">
        <f t="shared" si="0"/>
        <v>0</v>
      </c>
      <c r="I3" s="7">
        <f t="shared" si="0"/>
        <v>0</v>
      </c>
      <c r="J3" s="7">
        <f t="shared" si="0"/>
        <v>0</v>
      </c>
      <c r="K3" s="7">
        <f t="shared" si="0"/>
        <v>0</v>
      </c>
      <c r="L3" s="7">
        <f t="shared" si="0"/>
        <v>0</v>
      </c>
      <c r="M3" s="7">
        <f t="shared" si="0"/>
        <v>597448.25459294254</v>
      </c>
      <c r="N3" s="7">
        <f t="shared" si="0"/>
        <v>18300</v>
      </c>
      <c r="O3" s="7">
        <f t="shared" si="0"/>
        <v>0</v>
      </c>
      <c r="P3" s="7">
        <f t="shared" si="0"/>
        <v>0</v>
      </c>
      <c r="Q3" s="7">
        <f t="shared" si="0"/>
        <v>0</v>
      </c>
      <c r="R3" s="7">
        <v>0</v>
      </c>
      <c r="S3" s="7">
        <f t="shared" si="0"/>
        <v>124</v>
      </c>
      <c r="T3" s="7">
        <f t="shared" si="0"/>
        <v>0</v>
      </c>
      <c r="U3" s="7">
        <v>0</v>
      </c>
      <c r="V3" s="7">
        <v>0</v>
      </c>
      <c r="W3" s="7">
        <f t="shared" si="0"/>
        <v>9120</v>
      </c>
    </row>
    <row r="4" spans="1:23" s="7" customFormat="1" x14ac:dyDescent="0.3">
      <c r="A4" s="7" t="s">
        <v>156</v>
      </c>
      <c r="B4" s="7">
        <f t="shared" si="0"/>
        <v>11.545454545454545</v>
      </c>
      <c r="C4" s="7">
        <f t="shared" si="0"/>
        <v>0</v>
      </c>
      <c r="D4" s="7">
        <f t="shared" si="0"/>
        <v>13</v>
      </c>
      <c r="E4" s="7">
        <f t="shared" si="0"/>
        <v>0</v>
      </c>
      <c r="F4" s="7">
        <f t="shared" si="0"/>
        <v>100</v>
      </c>
      <c r="G4" s="7">
        <f t="shared" si="0"/>
        <v>301000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  <c r="L4" s="7">
        <f t="shared" si="0"/>
        <v>0</v>
      </c>
      <c r="M4" s="7">
        <f t="shared" si="0"/>
        <v>59744.825459294254</v>
      </c>
      <c r="N4" s="7">
        <v>0</v>
      </c>
      <c r="O4" s="7">
        <f t="shared" si="0"/>
        <v>0</v>
      </c>
      <c r="P4" s="7">
        <f t="shared" si="0"/>
        <v>0</v>
      </c>
      <c r="Q4" s="7">
        <f t="shared" si="0"/>
        <v>0</v>
      </c>
      <c r="R4" s="7">
        <f t="shared" si="0"/>
        <v>0</v>
      </c>
      <c r="S4" s="7">
        <v>0</v>
      </c>
      <c r="T4" s="7">
        <f t="shared" si="0"/>
        <v>0</v>
      </c>
      <c r="U4" s="7">
        <f t="shared" si="0"/>
        <v>0</v>
      </c>
      <c r="V4" s="7">
        <f t="shared" si="0"/>
        <v>0</v>
      </c>
      <c r="W4" s="7">
        <f t="shared" si="0"/>
        <v>912</v>
      </c>
    </row>
    <row r="5" spans="1:23" s="7" customFormat="1" x14ac:dyDescent="0.3">
      <c r="A5" s="7" t="s">
        <v>157</v>
      </c>
      <c r="B5" s="7">
        <v>0</v>
      </c>
      <c r="C5" s="7">
        <f t="shared" si="0"/>
        <v>0</v>
      </c>
      <c r="D5" s="7">
        <v>0</v>
      </c>
      <c r="E5" s="7">
        <f t="shared" si="0"/>
        <v>0</v>
      </c>
      <c r="F5" s="7">
        <v>0</v>
      </c>
      <c r="G5" s="7"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5974.4825459294252</v>
      </c>
      <c r="N5" s="7">
        <f t="shared" si="0"/>
        <v>0</v>
      </c>
      <c r="O5" s="7">
        <f t="shared" si="0"/>
        <v>0</v>
      </c>
      <c r="P5" s="7">
        <f t="shared" si="0"/>
        <v>0</v>
      </c>
      <c r="Q5" s="7">
        <f t="shared" si="0"/>
        <v>0</v>
      </c>
      <c r="R5" s="7">
        <f t="shared" si="0"/>
        <v>0</v>
      </c>
      <c r="S5" s="7">
        <f t="shared" si="0"/>
        <v>0</v>
      </c>
      <c r="T5" s="7">
        <f t="shared" si="0"/>
        <v>0</v>
      </c>
      <c r="U5" s="7">
        <f t="shared" si="0"/>
        <v>0</v>
      </c>
      <c r="V5" s="7">
        <f t="shared" si="0"/>
        <v>0</v>
      </c>
      <c r="W5" s="7">
        <v>0</v>
      </c>
    </row>
    <row r="6" spans="1:23" s="7" customFormat="1" x14ac:dyDescent="0.3">
      <c r="A6" s="7" t="s">
        <v>158</v>
      </c>
      <c r="B6" s="7">
        <f t="shared" si="0"/>
        <v>0</v>
      </c>
      <c r="C6" s="7">
        <f t="shared" si="0"/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597.44825459294248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 t="shared" si="0"/>
        <v>0</v>
      </c>
    </row>
    <row r="7" spans="1:23" s="7" customFormat="1" x14ac:dyDescent="0.3">
      <c r="A7" s="7" t="s">
        <v>39</v>
      </c>
      <c r="B7" s="7">
        <v>0</v>
      </c>
      <c r="C7" s="7">
        <v>0</v>
      </c>
      <c r="D7" s="7">
        <v>35350</v>
      </c>
      <c r="E7" s="7">
        <v>0</v>
      </c>
      <c r="F7" s="7">
        <v>5454.545454545455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204737609.89520222</v>
      </c>
      <c r="M7" s="7">
        <v>54619.885304896052</v>
      </c>
      <c r="N7" s="7">
        <v>0</v>
      </c>
      <c r="O7" s="7">
        <v>0</v>
      </c>
      <c r="P7" s="7">
        <v>11700000</v>
      </c>
      <c r="Q7" s="7">
        <v>0</v>
      </c>
      <c r="R7" s="7">
        <v>66</v>
      </c>
      <c r="S7" s="7">
        <v>50</v>
      </c>
      <c r="T7" s="7">
        <v>0</v>
      </c>
      <c r="U7" s="7">
        <v>154</v>
      </c>
      <c r="V7" s="7">
        <v>0</v>
      </c>
      <c r="W7" s="7">
        <v>229600</v>
      </c>
    </row>
    <row r="8" spans="1:23" s="7" customFormat="1" x14ac:dyDescent="0.3">
      <c r="A8" s="7" t="s">
        <v>159</v>
      </c>
      <c r="B8" s="7">
        <f t="shared" ref="B8:W11" si="1">B7/10</f>
        <v>0</v>
      </c>
      <c r="C8" s="7">
        <f t="shared" si="1"/>
        <v>0</v>
      </c>
      <c r="D8" s="7">
        <f t="shared" si="1"/>
        <v>3535</v>
      </c>
      <c r="E8" s="7">
        <f t="shared" si="1"/>
        <v>0</v>
      </c>
      <c r="F8" s="7">
        <f t="shared" si="1"/>
        <v>545.4545454545455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20473760.989520222</v>
      </c>
      <c r="M8" s="7">
        <f t="shared" si="1"/>
        <v>5461.9885304896052</v>
      </c>
      <c r="N8" s="7">
        <f t="shared" si="1"/>
        <v>0</v>
      </c>
      <c r="O8" s="7">
        <f t="shared" si="1"/>
        <v>0</v>
      </c>
      <c r="P8" s="7">
        <f t="shared" si="1"/>
        <v>1170000</v>
      </c>
      <c r="Q8" s="7">
        <f t="shared" si="1"/>
        <v>0</v>
      </c>
      <c r="R8" s="7">
        <v>0</v>
      </c>
      <c r="S8" s="7">
        <v>0</v>
      </c>
      <c r="T8" s="7">
        <f t="shared" si="1"/>
        <v>0</v>
      </c>
      <c r="U8" s="7">
        <v>0</v>
      </c>
      <c r="V8" s="7">
        <f t="shared" si="1"/>
        <v>0</v>
      </c>
      <c r="W8" s="7">
        <f t="shared" si="1"/>
        <v>22960</v>
      </c>
    </row>
    <row r="9" spans="1:23" s="7" customFormat="1" x14ac:dyDescent="0.3">
      <c r="A9" s="7" t="s">
        <v>160</v>
      </c>
      <c r="B9" s="7">
        <f t="shared" si="1"/>
        <v>0</v>
      </c>
      <c r="C9" s="7">
        <f t="shared" si="1"/>
        <v>0</v>
      </c>
      <c r="D9" s="7">
        <f t="shared" si="1"/>
        <v>353.5</v>
      </c>
      <c r="E9" s="7">
        <f t="shared" si="1"/>
        <v>0</v>
      </c>
      <c r="F9" s="7">
        <f t="shared" si="1"/>
        <v>54.545454545454547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  <c r="L9" s="7">
        <f t="shared" si="1"/>
        <v>2047376.0989520221</v>
      </c>
      <c r="M9" s="7">
        <f t="shared" si="1"/>
        <v>546.19885304896047</v>
      </c>
      <c r="N9" s="7">
        <f t="shared" si="1"/>
        <v>0</v>
      </c>
      <c r="O9" s="7">
        <f t="shared" si="1"/>
        <v>0</v>
      </c>
      <c r="P9" s="7">
        <f t="shared" si="1"/>
        <v>117000</v>
      </c>
      <c r="Q9" s="7">
        <f t="shared" si="1"/>
        <v>0</v>
      </c>
      <c r="R9" s="7">
        <f t="shared" si="1"/>
        <v>0</v>
      </c>
      <c r="S9" s="7">
        <f t="shared" si="1"/>
        <v>0</v>
      </c>
      <c r="T9" s="7">
        <f t="shared" si="1"/>
        <v>0</v>
      </c>
      <c r="U9" s="7">
        <f t="shared" si="1"/>
        <v>0</v>
      </c>
      <c r="V9" s="7">
        <f t="shared" si="1"/>
        <v>0</v>
      </c>
      <c r="W9" s="7">
        <f t="shared" si="1"/>
        <v>2296</v>
      </c>
    </row>
    <row r="10" spans="1:23" s="7" customFormat="1" x14ac:dyDescent="0.3">
      <c r="A10" s="7" t="s">
        <v>161</v>
      </c>
      <c r="B10" s="7">
        <f t="shared" si="1"/>
        <v>0</v>
      </c>
      <c r="C10" s="7">
        <f t="shared" si="1"/>
        <v>0</v>
      </c>
      <c r="D10" s="7">
        <f t="shared" si="1"/>
        <v>35.35</v>
      </c>
      <c r="E10" s="7">
        <f t="shared" si="1"/>
        <v>0</v>
      </c>
      <c r="F10" s="7">
        <v>0</v>
      </c>
      <c r="G10" s="7">
        <f t="shared" si="1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  <c r="L10" s="7">
        <f t="shared" si="1"/>
        <v>204737.60989520221</v>
      </c>
      <c r="M10" s="7">
        <v>0</v>
      </c>
      <c r="N10" s="7">
        <f t="shared" si="1"/>
        <v>0</v>
      </c>
      <c r="O10" s="7">
        <f t="shared" si="1"/>
        <v>0</v>
      </c>
      <c r="P10" s="7">
        <v>0</v>
      </c>
      <c r="Q10" s="7">
        <f t="shared" si="1"/>
        <v>0</v>
      </c>
      <c r="R10" s="7">
        <f t="shared" si="1"/>
        <v>0</v>
      </c>
      <c r="S10" s="7">
        <f t="shared" si="1"/>
        <v>0</v>
      </c>
      <c r="T10" s="7">
        <f t="shared" si="1"/>
        <v>0</v>
      </c>
      <c r="U10" s="7">
        <f t="shared" si="1"/>
        <v>0</v>
      </c>
      <c r="V10" s="7">
        <f t="shared" si="1"/>
        <v>0</v>
      </c>
      <c r="W10" s="7">
        <v>0</v>
      </c>
    </row>
    <row r="11" spans="1:23" s="7" customFormat="1" x14ac:dyDescent="0.3">
      <c r="A11" s="7" t="s">
        <v>162</v>
      </c>
      <c r="B11" s="7">
        <f t="shared" si="1"/>
        <v>0</v>
      </c>
      <c r="C11" s="7">
        <f t="shared" si="1"/>
        <v>0</v>
      </c>
      <c r="D11" s="7"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  <c r="L11" s="7">
        <f t="shared" si="1"/>
        <v>20473.760989520222</v>
      </c>
      <c r="M11" s="7">
        <f t="shared" si="1"/>
        <v>0</v>
      </c>
      <c r="N11" s="7">
        <f t="shared" si="1"/>
        <v>0</v>
      </c>
      <c r="O11" s="7">
        <f t="shared" si="1"/>
        <v>0</v>
      </c>
      <c r="P11" s="7">
        <f t="shared" si="1"/>
        <v>0</v>
      </c>
      <c r="Q11" s="7">
        <f t="shared" si="1"/>
        <v>0</v>
      </c>
      <c r="R11" s="7">
        <f t="shared" si="1"/>
        <v>0</v>
      </c>
      <c r="S11" s="7">
        <f t="shared" si="1"/>
        <v>0</v>
      </c>
      <c r="T11" s="7">
        <f t="shared" si="1"/>
        <v>0</v>
      </c>
      <c r="U11" s="7">
        <f t="shared" si="1"/>
        <v>0</v>
      </c>
      <c r="V11" s="7">
        <f t="shared" si="1"/>
        <v>0</v>
      </c>
      <c r="W11" s="7">
        <f t="shared" si="1"/>
        <v>0</v>
      </c>
    </row>
    <row r="12" spans="1:23" s="7" customFormat="1" x14ac:dyDescent="0.3">
      <c r="A12" s="7" t="s">
        <v>51</v>
      </c>
      <c r="B12" s="7">
        <v>0</v>
      </c>
      <c r="C12" s="7">
        <v>0</v>
      </c>
      <c r="D12" s="7">
        <v>0</v>
      </c>
      <c r="E12" s="7">
        <v>50</v>
      </c>
      <c r="F12" s="7">
        <v>23181.818181818184</v>
      </c>
      <c r="G12" s="7">
        <v>0</v>
      </c>
      <c r="H12" s="7">
        <v>0</v>
      </c>
      <c r="I12" s="7">
        <v>0</v>
      </c>
      <c r="J12" s="7">
        <v>20054967.382788099</v>
      </c>
      <c r="K12" s="7">
        <v>0</v>
      </c>
      <c r="L12" s="7">
        <v>0</v>
      </c>
      <c r="M12" s="7">
        <v>1850552.8531603306</v>
      </c>
      <c r="N12" s="7">
        <v>5280000</v>
      </c>
      <c r="O12" s="7">
        <v>0</v>
      </c>
      <c r="P12" s="7">
        <v>0</v>
      </c>
      <c r="Q12" s="7">
        <v>346000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 s="7" customFormat="1" x14ac:dyDescent="0.3">
      <c r="A13" s="7" t="s">
        <v>163</v>
      </c>
      <c r="B13" s="7">
        <f t="shared" ref="B13:W16" si="2">B12/10</f>
        <v>0</v>
      </c>
      <c r="C13" s="7">
        <f t="shared" si="2"/>
        <v>0</v>
      </c>
      <c r="D13" s="7">
        <f t="shared" si="2"/>
        <v>0</v>
      </c>
      <c r="E13" s="7">
        <f t="shared" si="2"/>
        <v>5</v>
      </c>
      <c r="F13" s="7">
        <f t="shared" si="2"/>
        <v>2318.1818181818185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2005496.7382788099</v>
      </c>
      <c r="K13" s="7">
        <f t="shared" si="2"/>
        <v>0</v>
      </c>
      <c r="L13" s="7">
        <f t="shared" si="2"/>
        <v>0</v>
      </c>
      <c r="M13" s="7">
        <f t="shared" si="2"/>
        <v>185055.28531603306</v>
      </c>
      <c r="N13" s="7">
        <f t="shared" si="2"/>
        <v>528000</v>
      </c>
      <c r="O13" s="7">
        <f t="shared" si="2"/>
        <v>0</v>
      </c>
      <c r="P13" s="7">
        <f t="shared" si="2"/>
        <v>0</v>
      </c>
      <c r="Q13" s="7">
        <f t="shared" si="2"/>
        <v>34600</v>
      </c>
      <c r="R13" s="7">
        <f t="shared" si="2"/>
        <v>0</v>
      </c>
      <c r="S13" s="7">
        <f t="shared" si="2"/>
        <v>0</v>
      </c>
      <c r="T13" s="7">
        <f t="shared" si="2"/>
        <v>0</v>
      </c>
      <c r="U13" s="7">
        <f t="shared" si="2"/>
        <v>0</v>
      </c>
      <c r="V13" s="7">
        <f t="shared" si="2"/>
        <v>0</v>
      </c>
      <c r="W13" s="7">
        <f t="shared" si="2"/>
        <v>0</v>
      </c>
    </row>
    <row r="14" spans="1:23" s="7" customFormat="1" x14ac:dyDescent="0.3">
      <c r="A14" s="7" t="s">
        <v>164</v>
      </c>
      <c r="B14" s="7">
        <f t="shared" si="2"/>
        <v>0</v>
      </c>
      <c r="C14" s="7">
        <f t="shared" si="2"/>
        <v>0</v>
      </c>
      <c r="D14" s="7">
        <f t="shared" si="2"/>
        <v>0</v>
      </c>
      <c r="E14" s="7">
        <v>0</v>
      </c>
      <c r="F14" s="7">
        <f t="shared" si="2"/>
        <v>231.81818181818184</v>
      </c>
      <c r="G14" s="7">
        <f t="shared" si="2"/>
        <v>0</v>
      </c>
      <c r="H14" s="7">
        <f t="shared" si="2"/>
        <v>0</v>
      </c>
      <c r="I14" s="7">
        <f t="shared" si="2"/>
        <v>0</v>
      </c>
      <c r="J14" s="7">
        <f t="shared" si="2"/>
        <v>200549.67382788099</v>
      </c>
      <c r="K14" s="7">
        <f t="shared" si="2"/>
        <v>0</v>
      </c>
      <c r="L14" s="7">
        <f t="shared" si="2"/>
        <v>0</v>
      </c>
      <c r="M14" s="7">
        <f t="shared" si="2"/>
        <v>18505.528531603304</v>
      </c>
      <c r="N14" s="7">
        <f t="shared" si="2"/>
        <v>52800</v>
      </c>
      <c r="O14" s="7">
        <f t="shared" si="2"/>
        <v>0</v>
      </c>
      <c r="P14" s="7">
        <f t="shared" si="2"/>
        <v>0</v>
      </c>
      <c r="Q14" s="7">
        <v>0</v>
      </c>
      <c r="R14" s="7">
        <f t="shared" si="2"/>
        <v>0</v>
      </c>
      <c r="S14" s="7">
        <f t="shared" si="2"/>
        <v>0</v>
      </c>
      <c r="T14" s="7">
        <f t="shared" si="2"/>
        <v>0</v>
      </c>
      <c r="U14" s="7">
        <f t="shared" si="2"/>
        <v>0</v>
      </c>
      <c r="V14" s="7">
        <f t="shared" si="2"/>
        <v>0</v>
      </c>
      <c r="W14" s="7">
        <f t="shared" si="2"/>
        <v>0</v>
      </c>
    </row>
    <row r="15" spans="1:23" s="7" customFormat="1" x14ac:dyDescent="0.3">
      <c r="A15" s="7" t="s">
        <v>165</v>
      </c>
      <c r="B15" s="7">
        <f t="shared" si="2"/>
        <v>0</v>
      </c>
      <c r="C15" s="7">
        <f t="shared" si="2"/>
        <v>0</v>
      </c>
      <c r="D15" s="7">
        <f t="shared" si="2"/>
        <v>0</v>
      </c>
      <c r="E15" s="7">
        <f t="shared" si="2"/>
        <v>0</v>
      </c>
      <c r="F15" s="7">
        <v>0</v>
      </c>
      <c r="G15" s="7">
        <f t="shared" si="2"/>
        <v>0</v>
      </c>
      <c r="H15" s="7">
        <f t="shared" si="2"/>
        <v>0</v>
      </c>
      <c r="I15" s="7">
        <f t="shared" si="2"/>
        <v>0</v>
      </c>
      <c r="J15" s="7">
        <v>0</v>
      </c>
      <c r="K15" s="7">
        <f t="shared" si="2"/>
        <v>0</v>
      </c>
      <c r="L15" s="7">
        <f t="shared" si="2"/>
        <v>0</v>
      </c>
      <c r="M15" s="7">
        <f t="shared" si="2"/>
        <v>1850.5528531603304</v>
      </c>
      <c r="N15" s="7">
        <v>0</v>
      </c>
      <c r="O15" s="7">
        <f t="shared" si="2"/>
        <v>0</v>
      </c>
      <c r="P15" s="7">
        <f t="shared" si="2"/>
        <v>0</v>
      </c>
      <c r="Q15" s="7">
        <v>0</v>
      </c>
      <c r="R15" s="7">
        <f t="shared" si="2"/>
        <v>0</v>
      </c>
      <c r="S15" s="7">
        <f t="shared" si="2"/>
        <v>0</v>
      </c>
      <c r="T15" s="7">
        <f t="shared" si="2"/>
        <v>0</v>
      </c>
      <c r="U15" s="7">
        <f t="shared" si="2"/>
        <v>0</v>
      </c>
      <c r="V15" s="7">
        <f t="shared" si="2"/>
        <v>0</v>
      </c>
      <c r="W15" s="7">
        <f t="shared" si="2"/>
        <v>0</v>
      </c>
    </row>
    <row r="16" spans="1:23" s="7" customFormat="1" x14ac:dyDescent="0.3">
      <c r="A16" s="7" t="s">
        <v>166</v>
      </c>
      <c r="B16" s="7">
        <f t="shared" si="2"/>
        <v>0</v>
      </c>
      <c r="C16" s="7">
        <f t="shared" si="2"/>
        <v>0</v>
      </c>
      <c r="D16" s="7">
        <f t="shared" si="2"/>
        <v>0</v>
      </c>
      <c r="E16" s="7">
        <f t="shared" si="2"/>
        <v>0</v>
      </c>
      <c r="F16" s="7">
        <f t="shared" si="2"/>
        <v>0</v>
      </c>
      <c r="G16" s="7">
        <f t="shared" si="2"/>
        <v>0</v>
      </c>
      <c r="H16" s="7">
        <f t="shared" si="2"/>
        <v>0</v>
      </c>
      <c r="I16" s="7">
        <f t="shared" si="2"/>
        <v>0</v>
      </c>
      <c r="J16" s="7">
        <f t="shared" si="2"/>
        <v>0</v>
      </c>
      <c r="K16" s="7">
        <f t="shared" si="2"/>
        <v>0</v>
      </c>
      <c r="L16" s="7">
        <f t="shared" si="2"/>
        <v>0</v>
      </c>
      <c r="M16" s="7">
        <v>0</v>
      </c>
      <c r="N16" s="7">
        <f t="shared" si="2"/>
        <v>0</v>
      </c>
      <c r="O16" s="7">
        <f t="shared" si="2"/>
        <v>0</v>
      </c>
      <c r="P16" s="7">
        <f t="shared" si="2"/>
        <v>0</v>
      </c>
      <c r="Q16" s="7">
        <f t="shared" si="2"/>
        <v>0</v>
      </c>
      <c r="R16" s="7">
        <f t="shared" si="2"/>
        <v>0</v>
      </c>
      <c r="S16" s="7">
        <f t="shared" si="2"/>
        <v>0</v>
      </c>
      <c r="T16" s="7">
        <f t="shared" si="2"/>
        <v>0</v>
      </c>
      <c r="U16" s="7">
        <f t="shared" si="2"/>
        <v>0</v>
      </c>
      <c r="V16" s="7">
        <f t="shared" si="2"/>
        <v>0</v>
      </c>
      <c r="W16" s="7">
        <f t="shared" si="2"/>
        <v>0</v>
      </c>
    </row>
    <row r="17" spans="1:23" s="7" customFormat="1" x14ac:dyDescent="0.3">
      <c r="A17" s="7" t="s">
        <v>61</v>
      </c>
      <c r="B17" s="7">
        <v>0</v>
      </c>
      <c r="C17" s="7">
        <v>0</v>
      </c>
      <c r="D17" s="7">
        <v>0</v>
      </c>
      <c r="E17" s="7">
        <v>0</v>
      </c>
      <c r="F17" s="7">
        <v>409</v>
      </c>
      <c r="G17" s="7">
        <v>0</v>
      </c>
      <c r="H17" s="7">
        <v>26800000</v>
      </c>
      <c r="I17" s="7">
        <v>0</v>
      </c>
      <c r="J17" s="7">
        <v>0</v>
      </c>
      <c r="K17" s="7">
        <v>0</v>
      </c>
      <c r="L17" s="7">
        <v>6809556436.8751297</v>
      </c>
      <c r="M17" s="7">
        <v>0</v>
      </c>
      <c r="N17" s="7">
        <v>0</v>
      </c>
      <c r="O17" s="7">
        <v>0</v>
      </c>
      <c r="P17" s="7">
        <v>10500000</v>
      </c>
      <c r="Q17" s="7">
        <v>0</v>
      </c>
      <c r="R17" s="7">
        <v>290</v>
      </c>
      <c r="S17" s="7">
        <v>990</v>
      </c>
      <c r="T17" s="7">
        <v>0</v>
      </c>
      <c r="U17" s="7">
        <v>410</v>
      </c>
      <c r="V17" s="7">
        <v>0</v>
      </c>
      <c r="W17" s="7">
        <v>0</v>
      </c>
    </row>
    <row r="18" spans="1:23" s="7" customFormat="1" x14ac:dyDescent="0.3">
      <c r="A18" s="7" t="s">
        <v>167</v>
      </c>
      <c r="B18" s="7">
        <f t="shared" ref="B18:W21" si="3">B17/10</f>
        <v>0</v>
      </c>
      <c r="C18" s="7">
        <f t="shared" si="3"/>
        <v>0</v>
      </c>
      <c r="D18" s="7">
        <f t="shared" si="3"/>
        <v>0</v>
      </c>
      <c r="E18" s="7">
        <f t="shared" si="3"/>
        <v>0</v>
      </c>
      <c r="F18" s="7">
        <v>0</v>
      </c>
      <c r="G18" s="7">
        <f t="shared" si="3"/>
        <v>0</v>
      </c>
      <c r="H18" s="7">
        <f t="shared" si="3"/>
        <v>2680000</v>
      </c>
      <c r="I18" s="7">
        <f t="shared" si="3"/>
        <v>0</v>
      </c>
      <c r="J18" s="7">
        <f t="shared" si="3"/>
        <v>0</v>
      </c>
      <c r="K18" s="7">
        <f t="shared" si="3"/>
        <v>0</v>
      </c>
      <c r="L18" s="7">
        <f t="shared" si="3"/>
        <v>680955643.68751299</v>
      </c>
      <c r="M18" s="7">
        <f t="shared" si="3"/>
        <v>0</v>
      </c>
      <c r="N18" s="7">
        <f t="shared" si="3"/>
        <v>0</v>
      </c>
      <c r="O18" s="7">
        <f t="shared" si="3"/>
        <v>0</v>
      </c>
      <c r="P18" s="7">
        <f t="shared" si="3"/>
        <v>1050000</v>
      </c>
      <c r="Q18" s="7">
        <f t="shared" si="3"/>
        <v>0</v>
      </c>
      <c r="R18" s="7">
        <v>0</v>
      </c>
      <c r="S18" s="7">
        <f t="shared" si="3"/>
        <v>99</v>
      </c>
      <c r="T18" s="7">
        <f t="shared" si="3"/>
        <v>0</v>
      </c>
      <c r="U18" s="7">
        <v>0</v>
      </c>
      <c r="V18" s="7">
        <f t="shared" si="3"/>
        <v>0</v>
      </c>
      <c r="W18" s="7">
        <f t="shared" si="3"/>
        <v>0</v>
      </c>
    </row>
    <row r="19" spans="1:23" s="7" customFormat="1" x14ac:dyDescent="0.3">
      <c r="A19" s="7" t="s">
        <v>168</v>
      </c>
      <c r="B19" s="7">
        <f t="shared" si="3"/>
        <v>0</v>
      </c>
      <c r="C19" s="7">
        <f t="shared" si="3"/>
        <v>0</v>
      </c>
      <c r="D19" s="7">
        <f t="shared" si="3"/>
        <v>0</v>
      </c>
      <c r="E19" s="7">
        <f t="shared" si="3"/>
        <v>0</v>
      </c>
      <c r="F19" s="7">
        <f t="shared" si="3"/>
        <v>0</v>
      </c>
      <c r="G19" s="7">
        <f t="shared" si="3"/>
        <v>0</v>
      </c>
      <c r="H19" s="7">
        <f t="shared" si="3"/>
        <v>268000</v>
      </c>
      <c r="I19" s="7">
        <f t="shared" si="3"/>
        <v>0</v>
      </c>
      <c r="J19" s="7">
        <f t="shared" si="3"/>
        <v>0</v>
      </c>
      <c r="K19" s="7">
        <f t="shared" si="3"/>
        <v>0</v>
      </c>
      <c r="L19" s="7">
        <f t="shared" si="3"/>
        <v>68095564.368751302</v>
      </c>
      <c r="M19" s="7">
        <f t="shared" si="3"/>
        <v>0</v>
      </c>
      <c r="N19" s="7">
        <f t="shared" si="3"/>
        <v>0</v>
      </c>
      <c r="O19" s="7">
        <f t="shared" si="3"/>
        <v>0</v>
      </c>
      <c r="P19" s="7">
        <f t="shared" si="3"/>
        <v>105000</v>
      </c>
      <c r="Q19" s="7">
        <f t="shared" si="3"/>
        <v>0</v>
      </c>
      <c r="R19" s="7">
        <f t="shared" si="3"/>
        <v>0</v>
      </c>
      <c r="S19" s="7">
        <v>0</v>
      </c>
      <c r="T19" s="7">
        <f t="shared" si="3"/>
        <v>0</v>
      </c>
      <c r="U19" s="7">
        <f t="shared" si="3"/>
        <v>0</v>
      </c>
      <c r="V19" s="7">
        <f t="shared" si="3"/>
        <v>0</v>
      </c>
      <c r="W19" s="7">
        <f t="shared" si="3"/>
        <v>0</v>
      </c>
    </row>
    <row r="20" spans="1:23" s="7" customFormat="1" x14ac:dyDescent="0.3">
      <c r="A20" s="7" t="s">
        <v>169</v>
      </c>
      <c r="B20" s="7">
        <f t="shared" si="3"/>
        <v>0</v>
      </c>
      <c r="C20" s="7">
        <f t="shared" si="3"/>
        <v>0</v>
      </c>
      <c r="D20" s="7">
        <f t="shared" si="3"/>
        <v>0</v>
      </c>
      <c r="E20" s="7">
        <f t="shared" si="3"/>
        <v>0</v>
      </c>
      <c r="F20" s="7">
        <f t="shared" si="3"/>
        <v>0</v>
      </c>
      <c r="G20" s="7">
        <f t="shared" si="3"/>
        <v>0</v>
      </c>
      <c r="H20" s="7">
        <v>0</v>
      </c>
      <c r="I20" s="7">
        <f t="shared" si="3"/>
        <v>0</v>
      </c>
      <c r="J20" s="7">
        <f t="shared" si="3"/>
        <v>0</v>
      </c>
      <c r="K20" s="7">
        <f t="shared" si="3"/>
        <v>0</v>
      </c>
      <c r="L20" s="7">
        <f t="shared" si="3"/>
        <v>6809556.43687513</v>
      </c>
      <c r="M20" s="7">
        <f t="shared" si="3"/>
        <v>0</v>
      </c>
      <c r="N20" s="7">
        <f t="shared" si="3"/>
        <v>0</v>
      </c>
      <c r="O20" s="7">
        <f t="shared" si="3"/>
        <v>0</v>
      </c>
      <c r="P20" s="7">
        <v>0</v>
      </c>
      <c r="Q20" s="7">
        <f t="shared" si="3"/>
        <v>0</v>
      </c>
      <c r="R20" s="7">
        <f t="shared" si="3"/>
        <v>0</v>
      </c>
      <c r="S20" s="7">
        <f t="shared" si="3"/>
        <v>0</v>
      </c>
      <c r="T20" s="7">
        <f t="shared" si="3"/>
        <v>0</v>
      </c>
      <c r="U20" s="7">
        <f t="shared" si="3"/>
        <v>0</v>
      </c>
      <c r="V20" s="7">
        <f t="shared" si="3"/>
        <v>0</v>
      </c>
      <c r="W20" s="7">
        <f t="shared" si="3"/>
        <v>0</v>
      </c>
    </row>
    <row r="21" spans="1:23" s="7" customFormat="1" x14ac:dyDescent="0.3">
      <c r="A21" s="7" t="s">
        <v>170</v>
      </c>
      <c r="B21" s="7">
        <f t="shared" si="3"/>
        <v>0</v>
      </c>
      <c r="C21" s="7">
        <f t="shared" si="3"/>
        <v>0</v>
      </c>
      <c r="D21" s="7">
        <f t="shared" si="3"/>
        <v>0</v>
      </c>
      <c r="E21" s="7">
        <f t="shared" si="3"/>
        <v>0</v>
      </c>
      <c r="F21" s="7">
        <f t="shared" si="3"/>
        <v>0</v>
      </c>
      <c r="G21" s="7">
        <f t="shared" si="3"/>
        <v>0</v>
      </c>
      <c r="H21" s="7">
        <f t="shared" si="3"/>
        <v>0</v>
      </c>
      <c r="I21" s="7">
        <f t="shared" si="3"/>
        <v>0</v>
      </c>
      <c r="J21" s="7">
        <f t="shared" si="3"/>
        <v>0</v>
      </c>
      <c r="K21" s="7">
        <f t="shared" si="3"/>
        <v>0</v>
      </c>
      <c r="L21" s="7">
        <f t="shared" si="3"/>
        <v>680955.64368751296</v>
      </c>
      <c r="M21" s="7">
        <f t="shared" si="3"/>
        <v>0</v>
      </c>
      <c r="N21" s="7">
        <f t="shared" si="3"/>
        <v>0</v>
      </c>
      <c r="O21" s="7">
        <f t="shared" si="3"/>
        <v>0</v>
      </c>
      <c r="P21" s="7">
        <f t="shared" si="3"/>
        <v>0</v>
      </c>
      <c r="Q21" s="7">
        <f t="shared" si="3"/>
        <v>0</v>
      </c>
      <c r="R21" s="7">
        <f t="shared" si="3"/>
        <v>0</v>
      </c>
      <c r="S21" s="7">
        <f t="shared" si="3"/>
        <v>0</v>
      </c>
      <c r="T21" s="7">
        <f t="shared" si="3"/>
        <v>0</v>
      </c>
      <c r="U21" s="7">
        <f t="shared" si="3"/>
        <v>0</v>
      </c>
      <c r="V21" s="7">
        <f t="shared" si="3"/>
        <v>0</v>
      </c>
      <c r="W21" s="7">
        <f t="shared" si="3"/>
        <v>0</v>
      </c>
    </row>
    <row r="22" spans="1:23" s="7" customFormat="1" x14ac:dyDescent="0.3">
      <c r="A22" s="7" t="s">
        <v>64</v>
      </c>
      <c r="B22" s="7">
        <v>33.333333333333336</v>
      </c>
      <c r="C22" s="7">
        <v>0</v>
      </c>
      <c r="D22" s="7">
        <v>0</v>
      </c>
      <c r="E22" s="7">
        <v>200</v>
      </c>
      <c r="F22" s="7">
        <v>5320000</v>
      </c>
      <c r="G22" s="7">
        <v>27350000</v>
      </c>
      <c r="H22" s="7">
        <v>0</v>
      </c>
      <c r="I22" s="7">
        <v>0</v>
      </c>
      <c r="J22" s="7">
        <v>0</v>
      </c>
      <c r="K22" s="7">
        <v>0</v>
      </c>
      <c r="L22" s="7">
        <v>9936.7600353435118</v>
      </c>
      <c r="M22" s="7">
        <v>60211532.380249135</v>
      </c>
      <c r="N22" s="7">
        <v>534000</v>
      </c>
      <c r="O22" s="7">
        <v>0</v>
      </c>
      <c r="P22" s="7">
        <v>0</v>
      </c>
      <c r="Q22" s="7">
        <v>48800</v>
      </c>
      <c r="R22" s="7">
        <v>0</v>
      </c>
      <c r="S22" s="7">
        <v>0</v>
      </c>
      <c r="T22" s="7">
        <v>0</v>
      </c>
      <c r="U22" s="7">
        <v>0</v>
      </c>
      <c r="V22" s="7">
        <v>45400</v>
      </c>
      <c r="W22" s="7">
        <v>232400</v>
      </c>
    </row>
    <row r="23" spans="1:23" s="7" customFormat="1" x14ac:dyDescent="0.3">
      <c r="A23" s="7" t="s">
        <v>171</v>
      </c>
      <c r="B23" s="7">
        <v>0</v>
      </c>
      <c r="C23" s="7">
        <f t="shared" ref="B23:W26" si="4">C22/10</f>
        <v>0</v>
      </c>
      <c r="D23" s="7">
        <f t="shared" si="4"/>
        <v>0</v>
      </c>
      <c r="E23" s="7">
        <f t="shared" si="4"/>
        <v>20</v>
      </c>
      <c r="F23" s="7">
        <f t="shared" si="4"/>
        <v>532000</v>
      </c>
      <c r="G23" s="7">
        <f t="shared" si="4"/>
        <v>2735000</v>
      </c>
      <c r="H23" s="7">
        <f t="shared" si="4"/>
        <v>0</v>
      </c>
      <c r="I23" s="7">
        <f t="shared" si="4"/>
        <v>0</v>
      </c>
      <c r="J23" s="7">
        <f t="shared" si="4"/>
        <v>0</v>
      </c>
      <c r="K23" s="7">
        <f t="shared" si="4"/>
        <v>0</v>
      </c>
      <c r="L23" s="7">
        <f t="shared" si="4"/>
        <v>993.67600353435114</v>
      </c>
      <c r="M23" s="7">
        <f t="shared" si="4"/>
        <v>6021153.2380249137</v>
      </c>
      <c r="N23" s="7">
        <f t="shared" si="4"/>
        <v>53400</v>
      </c>
      <c r="O23" s="7">
        <f t="shared" si="4"/>
        <v>0</v>
      </c>
      <c r="P23" s="7">
        <f t="shared" si="4"/>
        <v>0</v>
      </c>
      <c r="Q23" s="7">
        <v>0</v>
      </c>
      <c r="R23" s="7">
        <f t="shared" si="4"/>
        <v>0</v>
      </c>
      <c r="S23" s="7">
        <f t="shared" si="4"/>
        <v>0</v>
      </c>
      <c r="T23" s="7">
        <f t="shared" si="4"/>
        <v>0</v>
      </c>
      <c r="U23" s="7">
        <f t="shared" si="4"/>
        <v>0</v>
      </c>
      <c r="V23" s="7">
        <v>0</v>
      </c>
      <c r="W23" s="7">
        <f t="shared" si="4"/>
        <v>23240</v>
      </c>
    </row>
    <row r="24" spans="1:23" s="7" customFormat="1" x14ac:dyDescent="0.3">
      <c r="A24" s="7" t="s">
        <v>172</v>
      </c>
      <c r="B24" s="7">
        <v>0</v>
      </c>
      <c r="C24" s="7">
        <f t="shared" si="4"/>
        <v>0</v>
      </c>
      <c r="D24" s="7">
        <f t="shared" si="4"/>
        <v>0</v>
      </c>
      <c r="E24" s="7">
        <v>0</v>
      </c>
      <c r="F24" s="7">
        <f t="shared" si="4"/>
        <v>53200</v>
      </c>
      <c r="G24" s="7">
        <f t="shared" si="4"/>
        <v>273500</v>
      </c>
      <c r="H24" s="7">
        <f t="shared" si="4"/>
        <v>0</v>
      </c>
      <c r="I24" s="7">
        <f t="shared" si="4"/>
        <v>0</v>
      </c>
      <c r="J24" s="7">
        <f t="shared" si="4"/>
        <v>0</v>
      </c>
      <c r="K24" s="7">
        <f t="shared" si="4"/>
        <v>0</v>
      </c>
      <c r="L24" s="7">
        <v>0</v>
      </c>
      <c r="M24" s="7">
        <f t="shared" si="4"/>
        <v>602115.32380249142</v>
      </c>
      <c r="N24" s="7">
        <v>0</v>
      </c>
      <c r="O24" s="7">
        <f t="shared" si="4"/>
        <v>0</v>
      </c>
      <c r="P24" s="7">
        <f t="shared" si="4"/>
        <v>0</v>
      </c>
      <c r="Q24" s="7">
        <f t="shared" si="4"/>
        <v>0</v>
      </c>
      <c r="R24" s="7">
        <f t="shared" si="4"/>
        <v>0</v>
      </c>
      <c r="S24" s="7">
        <f t="shared" si="4"/>
        <v>0</v>
      </c>
      <c r="T24" s="7">
        <f t="shared" si="4"/>
        <v>0</v>
      </c>
      <c r="U24" s="7">
        <f t="shared" si="4"/>
        <v>0</v>
      </c>
      <c r="V24" s="7">
        <f t="shared" si="4"/>
        <v>0</v>
      </c>
      <c r="W24" s="7">
        <f t="shared" si="4"/>
        <v>2324</v>
      </c>
    </row>
    <row r="25" spans="1:23" s="7" customFormat="1" x14ac:dyDescent="0.3">
      <c r="A25" s="7" t="s">
        <v>173</v>
      </c>
      <c r="B25" s="7">
        <f t="shared" si="4"/>
        <v>0</v>
      </c>
      <c r="C25" s="7">
        <f t="shared" si="4"/>
        <v>0</v>
      </c>
      <c r="D25" s="7">
        <f t="shared" si="4"/>
        <v>0</v>
      </c>
      <c r="E25" s="7">
        <f t="shared" si="4"/>
        <v>0</v>
      </c>
      <c r="F25" s="7">
        <f t="shared" si="4"/>
        <v>5320</v>
      </c>
      <c r="G25" s="7">
        <v>0</v>
      </c>
      <c r="H25" s="7">
        <f t="shared" si="4"/>
        <v>0</v>
      </c>
      <c r="I25" s="7">
        <f t="shared" si="4"/>
        <v>0</v>
      </c>
      <c r="J25" s="7">
        <f t="shared" si="4"/>
        <v>0</v>
      </c>
      <c r="K25" s="7">
        <f t="shared" si="4"/>
        <v>0</v>
      </c>
      <c r="L25" s="7">
        <f t="shared" si="4"/>
        <v>0</v>
      </c>
      <c r="M25" s="7">
        <f t="shared" si="4"/>
        <v>60211.53238024914</v>
      </c>
      <c r="N25" s="7">
        <f t="shared" si="4"/>
        <v>0</v>
      </c>
      <c r="O25" s="7">
        <f t="shared" si="4"/>
        <v>0</v>
      </c>
      <c r="P25" s="7">
        <f t="shared" si="4"/>
        <v>0</v>
      </c>
      <c r="Q25" s="7">
        <f t="shared" si="4"/>
        <v>0</v>
      </c>
      <c r="R25" s="7">
        <f t="shared" si="4"/>
        <v>0</v>
      </c>
      <c r="S25" s="7">
        <f t="shared" si="4"/>
        <v>0</v>
      </c>
      <c r="T25" s="7">
        <f t="shared" si="4"/>
        <v>0</v>
      </c>
      <c r="U25" s="7">
        <f t="shared" si="4"/>
        <v>0</v>
      </c>
      <c r="V25" s="7">
        <f t="shared" si="4"/>
        <v>0</v>
      </c>
      <c r="W25" s="7">
        <v>0</v>
      </c>
    </row>
    <row r="26" spans="1:23" s="7" customFormat="1" x14ac:dyDescent="0.3">
      <c r="A26" s="7" t="s">
        <v>174</v>
      </c>
      <c r="B26" s="7">
        <f t="shared" si="4"/>
        <v>0</v>
      </c>
      <c r="C26" s="7">
        <f t="shared" si="4"/>
        <v>0</v>
      </c>
      <c r="D26" s="7">
        <f t="shared" si="4"/>
        <v>0</v>
      </c>
      <c r="E26" s="7">
        <f t="shared" si="4"/>
        <v>0</v>
      </c>
      <c r="F26" s="7">
        <f t="shared" si="4"/>
        <v>532</v>
      </c>
      <c r="G26" s="7">
        <f t="shared" si="4"/>
        <v>0</v>
      </c>
      <c r="H26" s="7">
        <f t="shared" si="4"/>
        <v>0</v>
      </c>
      <c r="I26" s="7">
        <f t="shared" si="4"/>
        <v>0</v>
      </c>
      <c r="J26" s="7">
        <f t="shared" si="4"/>
        <v>0</v>
      </c>
      <c r="K26" s="7">
        <f t="shared" si="4"/>
        <v>0</v>
      </c>
      <c r="L26" s="7">
        <f t="shared" si="4"/>
        <v>0</v>
      </c>
      <c r="M26" s="7">
        <f t="shared" si="4"/>
        <v>6021.1532380249137</v>
      </c>
      <c r="N26" s="7">
        <f t="shared" si="4"/>
        <v>0</v>
      </c>
      <c r="O26" s="7">
        <f t="shared" si="4"/>
        <v>0</v>
      </c>
      <c r="P26" s="7">
        <f t="shared" si="4"/>
        <v>0</v>
      </c>
      <c r="Q26" s="7">
        <f t="shared" si="4"/>
        <v>0</v>
      </c>
      <c r="R26" s="7">
        <f t="shared" si="4"/>
        <v>0</v>
      </c>
      <c r="S26" s="7">
        <f t="shared" si="4"/>
        <v>0</v>
      </c>
      <c r="T26" s="7">
        <f t="shared" si="4"/>
        <v>0</v>
      </c>
      <c r="U26" s="7">
        <f t="shared" si="4"/>
        <v>0</v>
      </c>
      <c r="V26" s="7">
        <f t="shared" si="4"/>
        <v>0</v>
      </c>
      <c r="W26" s="7">
        <f t="shared" si="4"/>
        <v>0</v>
      </c>
    </row>
    <row r="27" spans="1:23" s="7" customFormat="1" x14ac:dyDescent="0.3">
      <c r="A27" s="7" t="s">
        <v>195</v>
      </c>
      <c r="B27" s="7">
        <v>0</v>
      </c>
      <c r="C27" s="7">
        <v>0</v>
      </c>
      <c r="D27" s="7">
        <v>0</v>
      </c>
      <c r="E27" s="7">
        <v>0</v>
      </c>
      <c r="F27" s="7">
        <v>500000</v>
      </c>
      <c r="G27" s="7">
        <v>12436808.8666503</v>
      </c>
      <c r="H27" s="7">
        <v>3067.3261700889102</v>
      </c>
      <c r="I27" s="7">
        <v>0</v>
      </c>
      <c r="J27" s="7">
        <v>0</v>
      </c>
      <c r="K27" s="7">
        <v>846024298.4018122</v>
      </c>
      <c r="L27" s="7">
        <v>0</v>
      </c>
      <c r="M27" s="7">
        <v>0</v>
      </c>
      <c r="N27" s="7">
        <v>0</v>
      </c>
      <c r="O27" s="7">
        <v>790000</v>
      </c>
      <c r="P27" s="7">
        <v>17100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 s="7" customFormat="1" x14ac:dyDescent="0.3">
      <c r="A28" s="7" t="s">
        <v>196</v>
      </c>
      <c r="B28" s="7">
        <f t="shared" ref="B28:W31" si="5">B27/10</f>
        <v>0</v>
      </c>
      <c r="C28" s="7">
        <f t="shared" si="5"/>
        <v>0</v>
      </c>
      <c r="D28" s="7">
        <f t="shared" si="5"/>
        <v>0</v>
      </c>
      <c r="E28" s="7">
        <f t="shared" si="5"/>
        <v>0</v>
      </c>
      <c r="F28" s="7">
        <f t="shared" si="5"/>
        <v>50000</v>
      </c>
      <c r="G28" s="7">
        <f t="shared" si="5"/>
        <v>1243680.8866650299</v>
      </c>
      <c r="H28" s="7">
        <v>0</v>
      </c>
      <c r="I28" s="7">
        <f t="shared" si="5"/>
        <v>0</v>
      </c>
      <c r="J28" s="7">
        <f t="shared" si="5"/>
        <v>0</v>
      </c>
      <c r="K28" s="7">
        <f t="shared" si="5"/>
        <v>84602429.840181217</v>
      </c>
      <c r="L28" s="7">
        <f t="shared" si="5"/>
        <v>0</v>
      </c>
      <c r="M28" s="7">
        <f t="shared" si="5"/>
        <v>0</v>
      </c>
      <c r="N28" s="7">
        <f t="shared" si="5"/>
        <v>0</v>
      </c>
      <c r="O28" s="7">
        <f t="shared" si="5"/>
        <v>79000</v>
      </c>
      <c r="P28" s="7">
        <v>0</v>
      </c>
      <c r="Q28" s="7">
        <f t="shared" si="5"/>
        <v>0</v>
      </c>
      <c r="R28" s="7">
        <f t="shared" si="5"/>
        <v>0</v>
      </c>
      <c r="S28" s="7">
        <f t="shared" si="5"/>
        <v>0</v>
      </c>
      <c r="T28" s="7">
        <f t="shared" si="5"/>
        <v>0</v>
      </c>
      <c r="U28" s="7">
        <f t="shared" si="5"/>
        <v>0</v>
      </c>
      <c r="V28" s="7">
        <f t="shared" si="5"/>
        <v>0</v>
      </c>
      <c r="W28" s="7">
        <f t="shared" si="5"/>
        <v>0</v>
      </c>
    </row>
    <row r="29" spans="1:23" s="7" customFormat="1" x14ac:dyDescent="0.3">
      <c r="A29" s="7" t="s">
        <v>197</v>
      </c>
      <c r="B29" s="7">
        <f t="shared" si="5"/>
        <v>0</v>
      </c>
      <c r="C29" s="7">
        <f t="shared" si="5"/>
        <v>0</v>
      </c>
      <c r="D29" s="7">
        <f t="shared" si="5"/>
        <v>0</v>
      </c>
      <c r="E29" s="7">
        <f t="shared" si="5"/>
        <v>0</v>
      </c>
      <c r="F29" s="7">
        <f t="shared" si="5"/>
        <v>5000</v>
      </c>
      <c r="G29" s="7">
        <f t="shared" si="5"/>
        <v>124368.088666503</v>
      </c>
      <c r="H29" s="7">
        <f t="shared" si="5"/>
        <v>0</v>
      </c>
      <c r="I29" s="7">
        <f t="shared" si="5"/>
        <v>0</v>
      </c>
      <c r="J29" s="7">
        <f t="shared" si="5"/>
        <v>0</v>
      </c>
      <c r="K29" s="7">
        <f t="shared" si="5"/>
        <v>8460242.9840181209</v>
      </c>
      <c r="L29" s="7">
        <f t="shared" si="5"/>
        <v>0</v>
      </c>
      <c r="M29" s="7">
        <f t="shared" si="5"/>
        <v>0</v>
      </c>
      <c r="N29" s="7">
        <f t="shared" si="5"/>
        <v>0</v>
      </c>
      <c r="O29" s="7">
        <v>0</v>
      </c>
      <c r="P29" s="7">
        <f t="shared" si="5"/>
        <v>0</v>
      </c>
      <c r="Q29" s="7">
        <f t="shared" si="5"/>
        <v>0</v>
      </c>
      <c r="R29" s="7">
        <f t="shared" si="5"/>
        <v>0</v>
      </c>
      <c r="S29" s="7">
        <f t="shared" si="5"/>
        <v>0</v>
      </c>
      <c r="T29" s="7">
        <f t="shared" si="5"/>
        <v>0</v>
      </c>
      <c r="U29" s="7">
        <f t="shared" si="5"/>
        <v>0</v>
      </c>
      <c r="V29" s="7">
        <f t="shared" si="5"/>
        <v>0</v>
      </c>
      <c r="W29" s="7">
        <f t="shared" si="5"/>
        <v>0</v>
      </c>
    </row>
    <row r="30" spans="1:23" s="7" customFormat="1" x14ac:dyDescent="0.3">
      <c r="A30" s="7" t="s">
        <v>198</v>
      </c>
      <c r="B30" s="7">
        <f t="shared" si="5"/>
        <v>0</v>
      </c>
      <c r="C30" s="7">
        <f t="shared" si="5"/>
        <v>0</v>
      </c>
      <c r="D30" s="7">
        <f t="shared" si="5"/>
        <v>0</v>
      </c>
      <c r="E30" s="7">
        <f t="shared" si="5"/>
        <v>0</v>
      </c>
      <c r="F30" s="7">
        <f t="shared" si="5"/>
        <v>500</v>
      </c>
      <c r="G30" s="7">
        <v>0</v>
      </c>
      <c r="H30" s="7">
        <f t="shared" si="5"/>
        <v>0</v>
      </c>
      <c r="I30" s="7">
        <f t="shared" si="5"/>
        <v>0</v>
      </c>
      <c r="J30" s="7">
        <f t="shared" si="5"/>
        <v>0</v>
      </c>
      <c r="K30" s="7">
        <f t="shared" si="5"/>
        <v>846024.29840181209</v>
      </c>
      <c r="L30" s="7">
        <f t="shared" si="5"/>
        <v>0</v>
      </c>
      <c r="M30" s="7">
        <f t="shared" si="5"/>
        <v>0</v>
      </c>
      <c r="N30" s="7">
        <f t="shared" si="5"/>
        <v>0</v>
      </c>
      <c r="O30" s="7">
        <f t="shared" si="5"/>
        <v>0</v>
      </c>
      <c r="P30" s="7">
        <f t="shared" si="5"/>
        <v>0</v>
      </c>
      <c r="Q30" s="7">
        <f t="shared" si="5"/>
        <v>0</v>
      </c>
      <c r="R30" s="7">
        <f t="shared" si="5"/>
        <v>0</v>
      </c>
      <c r="S30" s="7">
        <f t="shared" si="5"/>
        <v>0</v>
      </c>
      <c r="T30" s="7">
        <f t="shared" si="5"/>
        <v>0</v>
      </c>
      <c r="U30" s="7">
        <f t="shared" si="5"/>
        <v>0</v>
      </c>
      <c r="V30" s="7">
        <f t="shared" si="5"/>
        <v>0</v>
      </c>
      <c r="W30" s="7">
        <f t="shared" si="5"/>
        <v>0</v>
      </c>
    </row>
    <row r="31" spans="1:23" s="7" customFormat="1" x14ac:dyDescent="0.3">
      <c r="A31" s="7" t="s">
        <v>199</v>
      </c>
      <c r="B31" s="7">
        <f t="shared" si="5"/>
        <v>0</v>
      </c>
      <c r="C31" s="7">
        <f t="shared" si="5"/>
        <v>0</v>
      </c>
      <c r="D31" s="7">
        <f t="shared" si="5"/>
        <v>0</v>
      </c>
      <c r="E31" s="7">
        <f t="shared" si="5"/>
        <v>0</v>
      </c>
      <c r="F31" s="7">
        <f t="shared" si="5"/>
        <v>50</v>
      </c>
      <c r="G31" s="7">
        <f t="shared" si="5"/>
        <v>0</v>
      </c>
      <c r="H31" s="7">
        <f t="shared" si="5"/>
        <v>0</v>
      </c>
      <c r="I31" s="7">
        <f t="shared" si="5"/>
        <v>0</v>
      </c>
      <c r="J31" s="7">
        <f t="shared" si="5"/>
        <v>0</v>
      </c>
      <c r="K31" s="7">
        <f t="shared" si="5"/>
        <v>84602.429840181212</v>
      </c>
      <c r="L31" s="7">
        <f t="shared" si="5"/>
        <v>0</v>
      </c>
      <c r="M31" s="7">
        <f t="shared" si="5"/>
        <v>0</v>
      </c>
      <c r="N31" s="7">
        <f t="shared" si="5"/>
        <v>0</v>
      </c>
      <c r="O31" s="7">
        <f t="shared" si="5"/>
        <v>0</v>
      </c>
      <c r="P31" s="7">
        <f t="shared" si="5"/>
        <v>0</v>
      </c>
      <c r="Q31" s="7">
        <f t="shared" si="5"/>
        <v>0</v>
      </c>
      <c r="R31" s="7">
        <f t="shared" si="5"/>
        <v>0</v>
      </c>
      <c r="S31" s="7">
        <f t="shared" si="5"/>
        <v>0</v>
      </c>
      <c r="T31" s="7">
        <f t="shared" si="5"/>
        <v>0</v>
      </c>
      <c r="U31" s="7">
        <f t="shared" si="5"/>
        <v>0</v>
      </c>
      <c r="V31" s="7">
        <f t="shared" si="5"/>
        <v>0</v>
      </c>
      <c r="W31" s="7">
        <f t="shared" si="5"/>
        <v>0</v>
      </c>
    </row>
    <row r="32" spans="1:23" s="7" customFormat="1" x14ac:dyDescent="0.3">
      <c r="A32" s="7" t="s">
        <v>200</v>
      </c>
      <c r="B32" s="7">
        <v>0</v>
      </c>
      <c r="C32" s="7">
        <v>0</v>
      </c>
      <c r="D32" s="7">
        <v>240</v>
      </c>
      <c r="E32" s="7">
        <v>0</v>
      </c>
      <c r="F32" s="7">
        <v>75000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197268982.33824801</v>
      </c>
      <c r="M32" s="7">
        <v>370.80668818132176</v>
      </c>
      <c r="N32" s="7">
        <v>19600</v>
      </c>
      <c r="O32" s="7">
        <v>0</v>
      </c>
      <c r="P32" s="7">
        <v>574000</v>
      </c>
      <c r="Q32" s="7">
        <v>614000</v>
      </c>
      <c r="R32" s="7">
        <v>0</v>
      </c>
      <c r="S32" s="7">
        <v>0</v>
      </c>
      <c r="T32" s="7">
        <v>0</v>
      </c>
      <c r="U32" s="7">
        <v>170</v>
      </c>
      <c r="V32" s="7">
        <v>0</v>
      </c>
      <c r="W32" s="7">
        <v>45200</v>
      </c>
    </row>
    <row r="33" spans="1:23" s="7" customFormat="1" x14ac:dyDescent="0.3">
      <c r="A33" s="7" t="s">
        <v>201</v>
      </c>
      <c r="B33" s="7">
        <f>B32/10</f>
        <v>0</v>
      </c>
      <c r="C33" s="7">
        <f>C32/10</f>
        <v>0</v>
      </c>
      <c r="D33" s="7">
        <f>D32/10</f>
        <v>24</v>
      </c>
      <c r="E33" s="7">
        <f t="shared" ref="E33:W36" si="6">E32/10</f>
        <v>0</v>
      </c>
      <c r="F33" s="7">
        <f t="shared" si="6"/>
        <v>7500</v>
      </c>
      <c r="G33" s="7">
        <f t="shared" si="6"/>
        <v>0</v>
      </c>
      <c r="H33" s="7">
        <f t="shared" si="6"/>
        <v>0</v>
      </c>
      <c r="I33" s="7">
        <f t="shared" si="6"/>
        <v>0</v>
      </c>
      <c r="J33" s="7">
        <f t="shared" si="6"/>
        <v>0</v>
      </c>
      <c r="K33" s="7">
        <f t="shared" si="6"/>
        <v>0</v>
      </c>
      <c r="L33" s="7">
        <f t="shared" si="6"/>
        <v>19726898.233824801</v>
      </c>
      <c r="M33" s="7">
        <v>0</v>
      </c>
      <c r="N33" s="7">
        <v>0</v>
      </c>
      <c r="O33" s="7">
        <f t="shared" si="6"/>
        <v>0</v>
      </c>
      <c r="P33" s="7">
        <f t="shared" si="6"/>
        <v>57400</v>
      </c>
      <c r="Q33" s="7">
        <f t="shared" si="6"/>
        <v>61400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v>0</v>
      </c>
      <c r="V33" s="7">
        <f t="shared" si="6"/>
        <v>0</v>
      </c>
      <c r="W33" s="7">
        <f t="shared" si="6"/>
        <v>4520</v>
      </c>
    </row>
    <row r="34" spans="1:23" s="7" customFormat="1" x14ac:dyDescent="0.3">
      <c r="A34" s="7" t="s">
        <v>202</v>
      </c>
      <c r="B34" s="7">
        <f t="shared" ref="B34:B36" si="7">B33/10</f>
        <v>0</v>
      </c>
      <c r="C34" s="7">
        <f t="shared" ref="C34:C36" si="8">C33/10</f>
        <v>0</v>
      </c>
      <c r="D34" s="7">
        <v>0</v>
      </c>
      <c r="E34" s="7">
        <f t="shared" si="6"/>
        <v>0</v>
      </c>
      <c r="F34" s="7">
        <f t="shared" si="6"/>
        <v>750</v>
      </c>
      <c r="G34" s="7">
        <f t="shared" si="6"/>
        <v>0</v>
      </c>
      <c r="H34" s="7">
        <f t="shared" si="6"/>
        <v>0</v>
      </c>
      <c r="I34" s="7">
        <f t="shared" si="6"/>
        <v>0</v>
      </c>
      <c r="J34" s="7">
        <f t="shared" si="6"/>
        <v>0</v>
      </c>
      <c r="K34" s="7">
        <f t="shared" si="6"/>
        <v>0</v>
      </c>
      <c r="L34" s="7">
        <f t="shared" si="6"/>
        <v>1972689.8233824801</v>
      </c>
      <c r="M34" s="7">
        <f t="shared" si="6"/>
        <v>0</v>
      </c>
      <c r="N34" s="7">
        <f t="shared" si="6"/>
        <v>0</v>
      </c>
      <c r="O34" s="7">
        <f t="shared" si="6"/>
        <v>0</v>
      </c>
      <c r="P34" s="7">
        <v>0</v>
      </c>
      <c r="Q34" s="7">
        <v>0</v>
      </c>
      <c r="R34" s="7">
        <f t="shared" si="6"/>
        <v>0</v>
      </c>
      <c r="S34" s="7">
        <f t="shared" si="6"/>
        <v>0</v>
      </c>
      <c r="T34" s="7">
        <f t="shared" si="6"/>
        <v>0</v>
      </c>
      <c r="U34" s="7">
        <v>0</v>
      </c>
      <c r="V34" s="7">
        <f t="shared" si="6"/>
        <v>0</v>
      </c>
      <c r="W34" s="7">
        <v>0</v>
      </c>
    </row>
    <row r="35" spans="1:23" s="7" customFormat="1" x14ac:dyDescent="0.3">
      <c r="A35" s="7" t="s">
        <v>203</v>
      </c>
      <c r="B35" s="7">
        <f t="shared" si="7"/>
        <v>0</v>
      </c>
      <c r="C35" s="7">
        <f t="shared" si="8"/>
        <v>0</v>
      </c>
      <c r="D35" s="7">
        <f t="shared" ref="D35:D36" si="9">D34/10</f>
        <v>0</v>
      </c>
      <c r="E35" s="7">
        <f t="shared" si="6"/>
        <v>0</v>
      </c>
      <c r="F35" s="7">
        <f t="shared" si="6"/>
        <v>75</v>
      </c>
      <c r="G35" s="7">
        <f t="shared" si="6"/>
        <v>0</v>
      </c>
      <c r="H35" s="7">
        <f t="shared" si="6"/>
        <v>0</v>
      </c>
      <c r="I35" s="7">
        <f t="shared" si="6"/>
        <v>0</v>
      </c>
      <c r="J35" s="7">
        <f t="shared" si="6"/>
        <v>0</v>
      </c>
      <c r="K35" s="7">
        <f t="shared" si="6"/>
        <v>0</v>
      </c>
      <c r="L35" s="7">
        <f t="shared" si="6"/>
        <v>197268.982338248</v>
      </c>
      <c r="M35" s="7">
        <f t="shared" si="6"/>
        <v>0</v>
      </c>
      <c r="N35" s="7">
        <f t="shared" si="6"/>
        <v>0</v>
      </c>
      <c r="O35" s="7">
        <f t="shared" si="6"/>
        <v>0</v>
      </c>
      <c r="P35" s="7">
        <f t="shared" si="6"/>
        <v>0</v>
      </c>
      <c r="Q35" s="7">
        <f t="shared" si="6"/>
        <v>0</v>
      </c>
      <c r="R35" s="7">
        <f t="shared" si="6"/>
        <v>0</v>
      </c>
      <c r="S35" s="7">
        <f t="shared" si="6"/>
        <v>0</v>
      </c>
      <c r="T35" s="7">
        <f t="shared" si="6"/>
        <v>0</v>
      </c>
      <c r="U35" s="7">
        <f t="shared" si="6"/>
        <v>0</v>
      </c>
      <c r="V35" s="7">
        <f t="shared" si="6"/>
        <v>0</v>
      </c>
      <c r="W35" s="7">
        <f t="shared" si="6"/>
        <v>0</v>
      </c>
    </row>
    <row r="36" spans="1:23" s="7" customFormat="1" x14ac:dyDescent="0.3">
      <c r="A36" s="7" t="s">
        <v>204</v>
      </c>
      <c r="B36" s="7">
        <f t="shared" si="7"/>
        <v>0</v>
      </c>
      <c r="C36" s="7">
        <f t="shared" si="8"/>
        <v>0</v>
      </c>
      <c r="D36" s="7">
        <f t="shared" si="9"/>
        <v>0</v>
      </c>
      <c r="E36" s="7">
        <f t="shared" si="6"/>
        <v>0</v>
      </c>
      <c r="F36" s="7">
        <v>0</v>
      </c>
      <c r="G36" s="7">
        <f t="shared" si="6"/>
        <v>0</v>
      </c>
      <c r="H36" s="7">
        <f t="shared" si="6"/>
        <v>0</v>
      </c>
      <c r="I36" s="7">
        <f t="shared" si="6"/>
        <v>0</v>
      </c>
      <c r="J36" s="7">
        <f t="shared" si="6"/>
        <v>0</v>
      </c>
      <c r="K36" s="7">
        <f t="shared" si="6"/>
        <v>0</v>
      </c>
      <c r="L36" s="7">
        <f t="shared" si="6"/>
        <v>19726.898233824799</v>
      </c>
      <c r="M36" s="7">
        <f t="shared" si="6"/>
        <v>0</v>
      </c>
      <c r="N36" s="7">
        <f t="shared" si="6"/>
        <v>0</v>
      </c>
      <c r="O36" s="7">
        <f t="shared" si="6"/>
        <v>0</v>
      </c>
      <c r="P36" s="7">
        <f t="shared" si="6"/>
        <v>0</v>
      </c>
      <c r="Q36" s="7">
        <f t="shared" si="6"/>
        <v>0</v>
      </c>
      <c r="R36" s="7">
        <f t="shared" si="6"/>
        <v>0</v>
      </c>
      <c r="S36" s="7">
        <f t="shared" si="6"/>
        <v>0</v>
      </c>
      <c r="T36" s="7">
        <f t="shared" si="6"/>
        <v>0</v>
      </c>
      <c r="U36" s="7">
        <f t="shared" si="6"/>
        <v>0</v>
      </c>
      <c r="V36" s="7">
        <f t="shared" si="6"/>
        <v>0</v>
      </c>
      <c r="W36" s="7">
        <f t="shared" si="6"/>
        <v>0</v>
      </c>
    </row>
    <row r="37" spans="1:23" s="7" customFormat="1" x14ac:dyDescent="0.3">
      <c r="A37" s="7" t="s">
        <v>205</v>
      </c>
      <c r="B37" s="7">
        <v>0</v>
      </c>
      <c r="C37" s="7">
        <v>0</v>
      </c>
      <c r="D37" s="7">
        <v>0</v>
      </c>
      <c r="E37" s="7">
        <v>0</v>
      </c>
      <c r="F37" s="7">
        <v>6500000</v>
      </c>
      <c r="G37" s="7">
        <v>0</v>
      </c>
      <c r="H37" s="7">
        <v>12850000</v>
      </c>
      <c r="I37" s="7">
        <v>0</v>
      </c>
      <c r="J37" s="7">
        <v>0</v>
      </c>
      <c r="K37" s="7">
        <v>265686875.07816416</v>
      </c>
      <c r="L37" s="7">
        <v>0</v>
      </c>
      <c r="M37" s="7">
        <v>0</v>
      </c>
      <c r="N37" s="7">
        <v>0</v>
      </c>
      <c r="O37" s="7">
        <v>2500000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 s="7" customFormat="1" x14ac:dyDescent="0.3">
      <c r="A38" s="7" t="s">
        <v>206</v>
      </c>
      <c r="B38" s="7">
        <f t="shared" ref="B38:W41" si="10">B37/10</f>
        <v>0</v>
      </c>
      <c r="C38" s="7">
        <f t="shared" si="10"/>
        <v>0</v>
      </c>
      <c r="D38" s="7">
        <f t="shared" si="10"/>
        <v>0</v>
      </c>
      <c r="E38" s="7">
        <f t="shared" si="10"/>
        <v>0</v>
      </c>
      <c r="F38" s="7">
        <f t="shared" si="10"/>
        <v>650000</v>
      </c>
      <c r="G38" s="7">
        <f t="shared" si="10"/>
        <v>0</v>
      </c>
      <c r="H38" s="7">
        <f t="shared" si="10"/>
        <v>1285000</v>
      </c>
      <c r="I38" s="7">
        <f t="shared" si="10"/>
        <v>0</v>
      </c>
      <c r="J38" s="7">
        <f t="shared" si="10"/>
        <v>0</v>
      </c>
      <c r="K38" s="7">
        <f t="shared" si="10"/>
        <v>26568687.507816415</v>
      </c>
      <c r="L38" s="7">
        <f t="shared" si="10"/>
        <v>0</v>
      </c>
      <c r="M38" s="7">
        <f t="shared" si="10"/>
        <v>0</v>
      </c>
      <c r="N38" s="7">
        <f t="shared" si="10"/>
        <v>0</v>
      </c>
      <c r="O38" s="7">
        <f t="shared" si="10"/>
        <v>250000</v>
      </c>
      <c r="P38" s="7">
        <f t="shared" si="10"/>
        <v>0</v>
      </c>
      <c r="Q38" s="7">
        <f t="shared" si="10"/>
        <v>0</v>
      </c>
      <c r="R38" s="7">
        <f t="shared" si="10"/>
        <v>0</v>
      </c>
      <c r="S38" s="7">
        <f t="shared" si="10"/>
        <v>0</v>
      </c>
      <c r="T38" s="7">
        <f t="shared" si="10"/>
        <v>0</v>
      </c>
      <c r="U38" s="7">
        <f t="shared" si="10"/>
        <v>0</v>
      </c>
      <c r="V38" s="7">
        <f t="shared" si="10"/>
        <v>0</v>
      </c>
      <c r="W38" s="7">
        <f t="shared" si="10"/>
        <v>0</v>
      </c>
    </row>
    <row r="39" spans="1:23" s="7" customFormat="1" x14ac:dyDescent="0.3">
      <c r="A39" s="7" t="s">
        <v>207</v>
      </c>
      <c r="B39" s="7">
        <f t="shared" si="10"/>
        <v>0</v>
      </c>
      <c r="C39" s="7">
        <f t="shared" si="10"/>
        <v>0</v>
      </c>
      <c r="D39" s="7">
        <f t="shared" si="10"/>
        <v>0</v>
      </c>
      <c r="E39" s="7">
        <f t="shared" si="10"/>
        <v>0</v>
      </c>
      <c r="F39" s="7">
        <f t="shared" si="10"/>
        <v>65000</v>
      </c>
      <c r="G39" s="7">
        <f t="shared" si="10"/>
        <v>0</v>
      </c>
      <c r="H39" s="7">
        <f t="shared" si="10"/>
        <v>128500</v>
      </c>
      <c r="I39" s="7">
        <f t="shared" si="10"/>
        <v>0</v>
      </c>
      <c r="J39" s="7">
        <f t="shared" si="10"/>
        <v>0</v>
      </c>
      <c r="K39" s="7">
        <f t="shared" si="10"/>
        <v>2656868.7507816413</v>
      </c>
      <c r="L39" s="7">
        <f t="shared" si="10"/>
        <v>0</v>
      </c>
      <c r="M39" s="7">
        <f t="shared" si="10"/>
        <v>0</v>
      </c>
      <c r="N39" s="7">
        <f t="shared" si="10"/>
        <v>0</v>
      </c>
      <c r="O39" s="7">
        <f t="shared" si="10"/>
        <v>25000</v>
      </c>
      <c r="P39" s="7">
        <f t="shared" si="10"/>
        <v>0</v>
      </c>
      <c r="Q39" s="7">
        <f t="shared" si="10"/>
        <v>0</v>
      </c>
      <c r="R39" s="7">
        <f t="shared" si="10"/>
        <v>0</v>
      </c>
      <c r="S39" s="7">
        <f t="shared" si="10"/>
        <v>0</v>
      </c>
      <c r="T39" s="7">
        <f t="shared" si="10"/>
        <v>0</v>
      </c>
      <c r="U39" s="7">
        <f t="shared" si="10"/>
        <v>0</v>
      </c>
      <c r="V39" s="7">
        <f t="shared" si="10"/>
        <v>0</v>
      </c>
      <c r="W39" s="7">
        <f t="shared" si="10"/>
        <v>0</v>
      </c>
    </row>
    <row r="40" spans="1:23" s="7" customFormat="1" x14ac:dyDescent="0.3">
      <c r="A40" s="7" t="s">
        <v>208</v>
      </c>
      <c r="B40" s="7">
        <f t="shared" si="10"/>
        <v>0</v>
      </c>
      <c r="C40" s="7">
        <f t="shared" si="10"/>
        <v>0</v>
      </c>
      <c r="D40" s="7">
        <f t="shared" si="10"/>
        <v>0</v>
      </c>
      <c r="E40" s="7">
        <f t="shared" si="10"/>
        <v>0</v>
      </c>
      <c r="F40" s="7">
        <f t="shared" si="10"/>
        <v>6500</v>
      </c>
      <c r="G40" s="7">
        <f t="shared" si="10"/>
        <v>0</v>
      </c>
      <c r="H40" s="7">
        <v>0</v>
      </c>
      <c r="I40" s="7">
        <f t="shared" si="10"/>
        <v>0</v>
      </c>
      <c r="J40" s="7">
        <f t="shared" si="10"/>
        <v>0</v>
      </c>
      <c r="K40" s="7">
        <f t="shared" si="10"/>
        <v>265686.87507816416</v>
      </c>
      <c r="L40" s="7">
        <f t="shared" si="10"/>
        <v>0</v>
      </c>
      <c r="M40" s="7">
        <f t="shared" si="10"/>
        <v>0</v>
      </c>
      <c r="N40" s="7">
        <f t="shared" si="10"/>
        <v>0</v>
      </c>
      <c r="O40" s="7">
        <v>0</v>
      </c>
      <c r="P40" s="7">
        <f t="shared" si="10"/>
        <v>0</v>
      </c>
      <c r="Q40" s="7">
        <f t="shared" si="10"/>
        <v>0</v>
      </c>
      <c r="R40" s="7">
        <f t="shared" si="10"/>
        <v>0</v>
      </c>
      <c r="S40" s="7">
        <f t="shared" si="10"/>
        <v>0</v>
      </c>
      <c r="T40" s="7">
        <f t="shared" si="10"/>
        <v>0</v>
      </c>
      <c r="U40" s="7">
        <f t="shared" si="10"/>
        <v>0</v>
      </c>
      <c r="V40" s="7">
        <f t="shared" si="10"/>
        <v>0</v>
      </c>
      <c r="W40" s="7">
        <f t="shared" si="10"/>
        <v>0</v>
      </c>
    </row>
    <row r="41" spans="1:23" s="7" customFormat="1" x14ac:dyDescent="0.3">
      <c r="A41" s="7" t="s">
        <v>209</v>
      </c>
      <c r="B41" s="7">
        <f t="shared" si="10"/>
        <v>0</v>
      </c>
      <c r="C41" s="7">
        <f t="shared" si="10"/>
        <v>0</v>
      </c>
      <c r="D41" s="7">
        <f t="shared" si="10"/>
        <v>0</v>
      </c>
      <c r="E41" s="7">
        <f t="shared" si="10"/>
        <v>0</v>
      </c>
      <c r="F41" s="7">
        <f t="shared" si="10"/>
        <v>650</v>
      </c>
      <c r="G41" s="7">
        <f t="shared" si="10"/>
        <v>0</v>
      </c>
      <c r="H41" s="7">
        <f t="shared" si="10"/>
        <v>0</v>
      </c>
      <c r="I41" s="7">
        <f t="shared" si="10"/>
        <v>0</v>
      </c>
      <c r="J41" s="7">
        <f t="shared" si="10"/>
        <v>0</v>
      </c>
      <c r="K41" s="7">
        <f t="shared" si="10"/>
        <v>26568.687507816416</v>
      </c>
      <c r="L41" s="7">
        <f t="shared" si="10"/>
        <v>0</v>
      </c>
      <c r="M41" s="7">
        <f t="shared" si="10"/>
        <v>0</v>
      </c>
      <c r="N41" s="7">
        <f t="shared" si="10"/>
        <v>0</v>
      </c>
      <c r="O41" s="7">
        <f t="shared" si="10"/>
        <v>0</v>
      </c>
      <c r="P41" s="7">
        <f t="shared" si="10"/>
        <v>0</v>
      </c>
      <c r="Q41" s="7">
        <f t="shared" si="10"/>
        <v>0</v>
      </c>
      <c r="R41" s="7">
        <f t="shared" si="10"/>
        <v>0</v>
      </c>
      <c r="S41" s="7">
        <f t="shared" si="10"/>
        <v>0</v>
      </c>
      <c r="T41" s="7">
        <f t="shared" si="10"/>
        <v>0</v>
      </c>
      <c r="U41" s="7">
        <f t="shared" si="10"/>
        <v>0</v>
      </c>
      <c r="V41" s="7">
        <f t="shared" si="10"/>
        <v>0</v>
      </c>
      <c r="W41" s="7">
        <f t="shared" si="10"/>
        <v>0</v>
      </c>
    </row>
    <row r="42" spans="1:23" s="7" customFormat="1" x14ac:dyDescent="0.3">
      <c r="A42" s="7" t="s">
        <v>210</v>
      </c>
      <c r="B42" s="7">
        <v>0</v>
      </c>
      <c r="C42" s="7">
        <v>0</v>
      </c>
      <c r="D42" s="7">
        <v>0</v>
      </c>
      <c r="E42" s="7">
        <v>80.952380952380949</v>
      </c>
      <c r="F42" s="7">
        <v>1050000</v>
      </c>
      <c r="G42" s="7">
        <v>0</v>
      </c>
      <c r="H42" s="7">
        <v>0</v>
      </c>
      <c r="I42" s="7">
        <v>0</v>
      </c>
      <c r="J42" s="7">
        <v>33052320.852907799</v>
      </c>
      <c r="K42" s="7">
        <v>0</v>
      </c>
      <c r="L42" s="7">
        <v>0</v>
      </c>
      <c r="M42" s="7">
        <v>11249258.135160863</v>
      </c>
      <c r="N42" s="7">
        <v>0</v>
      </c>
      <c r="O42" s="7">
        <v>0</v>
      </c>
      <c r="P42" s="7">
        <v>0</v>
      </c>
      <c r="Q42" s="7">
        <v>737000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s="7" customFormat="1" x14ac:dyDescent="0.3">
      <c r="A43" s="7" t="s">
        <v>211</v>
      </c>
      <c r="B43" s="7">
        <f t="shared" ref="B43:W46" si="11">B42/10</f>
        <v>0</v>
      </c>
      <c r="C43" s="7">
        <f t="shared" si="11"/>
        <v>0</v>
      </c>
      <c r="D43" s="7">
        <f t="shared" si="11"/>
        <v>0</v>
      </c>
      <c r="E43" s="7">
        <f t="shared" si="11"/>
        <v>8.0952380952380949</v>
      </c>
      <c r="F43" s="7">
        <f t="shared" si="11"/>
        <v>105000</v>
      </c>
      <c r="G43" s="7">
        <f t="shared" si="11"/>
        <v>0</v>
      </c>
      <c r="H43" s="7">
        <f t="shared" si="11"/>
        <v>0</v>
      </c>
      <c r="I43" s="7">
        <f t="shared" si="11"/>
        <v>0</v>
      </c>
      <c r="J43" s="7">
        <f t="shared" si="11"/>
        <v>3305232.0852907798</v>
      </c>
      <c r="K43" s="7">
        <f t="shared" si="11"/>
        <v>0</v>
      </c>
      <c r="L43" s="7">
        <f t="shared" si="11"/>
        <v>0</v>
      </c>
      <c r="M43" s="7">
        <f t="shared" si="11"/>
        <v>1124925.8135160864</v>
      </c>
      <c r="N43" s="7">
        <f t="shared" si="11"/>
        <v>0</v>
      </c>
      <c r="O43" s="7">
        <f t="shared" si="11"/>
        <v>0</v>
      </c>
      <c r="P43" s="7">
        <f t="shared" si="11"/>
        <v>0</v>
      </c>
      <c r="Q43" s="7">
        <f t="shared" si="11"/>
        <v>73700</v>
      </c>
      <c r="R43" s="7">
        <f t="shared" si="11"/>
        <v>0</v>
      </c>
      <c r="S43" s="7">
        <f t="shared" si="11"/>
        <v>0</v>
      </c>
      <c r="T43" s="7">
        <f t="shared" si="11"/>
        <v>0</v>
      </c>
      <c r="U43" s="7">
        <f t="shared" si="11"/>
        <v>0</v>
      </c>
      <c r="V43" s="7">
        <f t="shared" si="11"/>
        <v>0</v>
      </c>
      <c r="W43" s="7">
        <f t="shared" si="11"/>
        <v>0</v>
      </c>
    </row>
    <row r="44" spans="1:23" s="7" customFormat="1" x14ac:dyDescent="0.3">
      <c r="A44" s="7" t="s">
        <v>212</v>
      </c>
      <c r="B44" s="7">
        <f t="shared" si="11"/>
        <v>0</v>
      </c>
      <c r="C44" s="7">
        <f t="shared" si="11"/>
        <v>0</v>
      </c>
      <c r="D44" s="7">
        <f t="shared" si="11"/>
        <v>0</v>
      </c>
      <c r="E44" s="7">
        <v>0</v>
      </c>
      <c r="F44" s="7">
        <f t="shared" si="11"/>
        <v>10500</v>
      </c>
      <c r="G44" s="7">
        <f t="shared" si="11"/>
        <v>0</v>
      </c>
      <c r="H44" s="7">
        <f t="shared" si="11"/>
        <v>0</v>
      </c>
      <c r="I44" s="7">
        <f t="shared" si="11"/>
        <v>0</v>
      </c>
      <c r="J44" s="7">
        <f t="shared" si="11"/>
        <v>330523.20852907799</v>
      </c>
      <c r="K44" s="7">
        <f t="shared" si="11"/>
        <v>0</v>
      </c>
      <c r="L44" s="7">
        <f t="shared" si="11"/>
        <v>0</v>
      </c>
      <c r="M44" s="7">
        <f t="shared" si="11"/>
        <v>112492.58135160865</v>
      </c>
      <c r="N44" s="7">
        <f t="shared" si="11"/>
        <v>0</v>
      </c>
      <c r="O44" s="7">
        <f t="shared" si="11"/>
        <v>0</v>
      </c>
      <c r="P44" s="7">
        <f t="shared" si="11"/>
        <v>0</v>
      </c>
      <c r="Q44" s="7">
        <v>0</v>
      </c>
      <c r="R44" s="7">
        <f t="shared" si="11"/>
        <v>0</v>
      </c>
      <c r="S44" s="7">
        <f t="shared" si="11"/>
        <v>0</v>
      </c>
      <c r="T44" s="7">
        <f t="shared" si="11"/>
        <v>0</v>
      </c>
      <c r="U44" s="7">
        <f t="shared" si="11"/>
        <v>0</v>
      </c>
      <c r="V44" s="7">
        <f t="shared" si="11"/>
        <v>0</v>
      </c>
      <c r="W44" s="7">
        <f t="shared" si="11"/>
        <v>0</v>
      </c>
    </row>
    <row r="45" spans="1:23" s="7" customFormat="1" x14ac:dyDescent="0.3">
      <c r="A45" s="7" t="s">
        <v>213</v>
      </c>
      <c r="B45" s="7">
        <f t="shared" si="11"/>
        <v>0</v>
      </c>
      <c r="C45" s="7">
        <f t="shared" si="11"/>
        <v>0</v>
      </c>
      <c r="D45" s="7">
        <f t="shared" si="11"/>
        <v>0</v>
      </c>
      <c r="E45" s="7">
        <f t="shared" si="11"/>
        <v>0</v>
      </c>
      <c r="F45" s="7">
        <f t="shared" si="11"/>
        <v>1050</v>
      </c>
      <c r="G45" s="7">
        <f t="shared" si="11"/>
        <v>0</v>
      </c>
      <c r="H45" s="7">
        <f t="shared" si="11"/>
        <v>0</v>
      </c>
      <c r="I45" s="7">
        <f t="shared" si="11"/>
        <v>0</v>
      </c>
      <c r="J45" s="7">
        <v>0</v>
      </c>
      <c r="K45" s="7">
        <f t="shared" si="11"/>
        <v>0</v>
      </c>
      <c r="L45" s="7">
        <f t="shared" si="11"/>
        <v>0</v>
      </c>
      <c r="M45" s="7">
        <f t="shared" si="11"/>
        <v>11249.258135160864</v>
      </c>
      <c r="N45" s="7">
        <f t="shared" si="11"/>
        <v>0</v>
      </c>
      <c r="O45" s="7">
        <f t="shared" si="11"/>
        <v>0</v>
      </c>
      <c r="P45" s="7">
        <f t="shared" si="11"/>
        <v>0</v>
      </c>
      <c r="Q45" s="7">
        <f t="shared" si="11"/>
        <v>0</v>
      </c>
      <c r="R45" s="7">
        <f t="shared" si="11"/>
        <v>0</v>
      </c>
      <c r="S45" s="7">
        <f t="shared" si="11"/>
        <v>0</v>
      </c>
      <c r="T45" s="7">
        <f t="shared" si="11"/>
        <v>0</v>
      </c>
      <c r="U45" s="7">
        <f t="shared" si="11"/>
        <v>0</v>
      </c>
      <c r="V45" s="7">
        <f t="shared" si="11"/>
        <v>0</v>
      </c>
      <c r="W45" s="7">
        <f t="shared" si="11"/>
        <v>0</v>
      </c>
    </row>
    <row r="46" spans="1:23" s="7" customFormat="1" x14ac:dyDescent="0.3">
      <c r="A46" s="7" t="s">
        <v>214</v>
      </c>
      <c r="B46" s="7">
        <f t="shared" si="11"/>
        <v>0</v>
      </c>
      <c r="C46" s="7">
        <f t="shared" si="11"/>
        <v>0</v>
      </c>
      <c r="D46" s="7">
        <f t="shared" si="11"/>
        <v>0</v>
      </c>
      <c r="E46" s="7">
        <f t="shared" si="11"/>
        <v>0</v>
      </c>
      <c r="F46" s="7">
        <f t="shared" si="11"/>
        <v>105</v>
      </c>
      <c r="G46" s="7">
        <f t="shared" si="11"/>
        <v>0</v>
      </c>
      <c r="H46" s="7">
        <f t="shared" si="11"/>
        <v>0</v>
      </c>
      <c r="I46" s="7">
        <f t="shared" si="11"/>
        <v>0</v>
      </c>
      <c r="J46" s="7">
        <v>0</v>
      </c>
      <c r="K46" s="7">
        <f t="shared" si="11"/>
        <v>0</v>
      </c>
      <c r="L46" s="7">
        <f t="shared" si="11"/>
        <v>0</v>
      </c>
      <c r="M46" s="7">
        <f t="shared" si="11"/>
        <v>1124.9258135160865</v>
      </c>
      <c r="N46" s="7">
        <f t="shared" si="11"/>
        <v>0</v>
      </c>
      <c r="O46" s="7">
        <f t="shared" si="11"/>
        <v>0</v>
      </c>
      <c r="P46" s="7">
        <f t="shared" si="11"/>
        <v>0</v>
      </c>
      <c r="Q46" s="7">
        <f t="shared" si="11"/>
        <v>0</v>
      </c>
      <c r="R46" s="7">
        <f t="shared" si="11"/>
        <v>0</v>
      </c>
      <c r="S46" s="7">
        <f t="shared" si="11"/>
        <v>0</v>
      </c>
      <c r="T46" s="7">
        <f t="shared" si="11"/>
        <v>0</v>
      </c>
      <c r="U46" s="7">
        <f t="shared" si="11"/>
        <v>0</v>
      </c>
      <c r="V46" s="7">
        <f t="shared" si="11"/>
        <v>0</v>
      </c>
      <c r="W46" s="7">
        <f t="shared" si="11"/>
        <v>0</v>
      </c>
    </row>
    <row r="47" spans="1:23" s="7" customFormat="1" x14ac:dyDescent="0.3">
      <c r="A47" s="7" t="s">
        <v>99</v>
      </c>
      <c r="B47" s="7">
        <v>26250</v>
      </c>
      <c r="C47" s="7">
        <v>0</v>
      </c>
      <c r="D47" s="7">
        <v>0</v>
      </c>
      <c r="E47" s="7">
        <v>0</v>
      </c>
      <c r="F47" s="7">
        <v>14500</v>
      </c>
      <c r="G47" s="7">
        <v>746362.75650062924</v>
      </c>
      <c r="H47" s="7">
        <v>13351.066527959772</v>
      </c>
      <c r="I47" s="7">
        <v>232435.23302498518</v>
      </c>
      <c r="J47" s="7">
        <v>1638577.3977619479</v>
      </c>
      <c r="K47" s="7">
        <v>0</v>
      </c>
      <c r="L47" s="7">
        <v>0</v>
      </c>
      <c r="M47" s="7">
        <v>941189.15196808334</v>
      </c>
      <c r="N47" s="7">
        <v>84600</v>
      </c>
      <c r="O47" s="7">
        <v>0</v>
      </c>
      <c r="P47" s="7">
        <v>0</v>
      </c>
      <c r="Q47" s="7">
        <v>11500</v>
      </c>
      <c r="R47" s="7">
        <v>59.000000000000007</v>
      </c>
      <c r="S47" s="7">
        <v>190</v>
      </c>
      <c r="T47" s="7">
        <v>0</v>
      </c>
      <c r="U47" s="7">
        <v>0</v>
      </c>
      <c r="V47" s="7">
        <v>0</v>
      </c>
      <c r="W47" s="7">
        <v>14800</v>
      </c>
    </row>
    <row r="48" spans="1:23" s="7" customFormat="1" x14ac:dyDescent="0.3">
      <c r="A48" s="7" t="s">
        <v>175</v>
      </c>
      <c r="B48" s="7">
        <f t="shared" ref="B48:W51" si="12">B47/10</f>
        <v>2625</v>
      </c>
      <c r="C48" s="7">
        <f t="shared" si="12"/>
        <v>0</v>
      </c>
      <c r="D48" s="7">
        <f t="shared" si="12"/>
        <v>0</v>
      </c>
      <c r="E48" s="7">
        <f t="shared" si="12"/>
        <v>0</v>
      </c>
      <c r="F48" s="7">
        <f t="shared" si="12"/>
        <v>1450</v>
      </c>
      <c r="G48" s="7">
        <f t="shared" si="12"/>
        <v>74636.275650062918</v>
      </c>
      <c r="H48" s="7">
        <v>0</v>
      </c>
      <c r="I48" s="7">
        <v>0</v>
      </c>
      <c r="J48" s="7">
        <f t="shared" si="12"/>
        <v>163857.73977619479</v>
      </c>
      <c r="K48" s="7">
        <f t="shared" si="12"/>
        <v>0</v>
      </c>
      <c r="L48" s="7">
        <f t="shared" si="12"/>
        <v>0</v>
      </c>
      <c r="M48" s="7">
        <f t="shared" si="12"/>
        <v>94118.915196808332</v>
      </c>
      <c r="N48" s="7">
        <v>0</v>
      </c>
      <c r="O48" s="7">
        <f t="shared" si="12"/>
        <v>0</v>
      </c>
      <c r="P48" s="7">
        <f t="shared" si="12"/>
        <v>0</v>
      </c>
      <c r="Q48" s="7">
        <v>0</v>
      </c>
      <c r="R48" s="7">
        <v>0</v>
      </c>
      <c r="S48" s="7">
        <v>0</v>
      </c>
      <c r="T48" s="7">
        <f t="shared" si="12"/>
        <v>0</v>
      </c>
      <c r="U48" s="7">
        <f t="shared" si="12"/>
        <v>0</v>
      </c>
      <c r="V48" s="7">
        <f t="shared" si="12"/>
        <v>0</v>
      </c>
      <c r="W48" s="7">
        <f t="shared" si="12"/>
        <v>1480</v>
      </c>
    </row>
    <row r="49" spans="1:23" s="7" customFormat="1" x14ac:dyDescent="0.3">
      <c r="A49" s="7" t="s">
        <v>176</v>
      </c>
      <c r="B49" s="7">
        <f t="shared" si="12"/>
        <v>262.5</v>
      </c>
      <c r="C49" s="7">
        <f t="shared" si="12"/>
        <v>0</v>
      </c>
      <c r="D49" s="7">
        <f t="shared" si="12"/>
        <v>0</v>
      </c>
      <c r="E49" s="7">
        <f t="shared" si="12"/>
        <v>0</v>
      </c>
      <c r="F49" s="7">
        <f t="shared" si="12"/>
        <v>145</v>
      </c>
      <c r="G49" s="7">
        <v>0</v>
      </c>
      <c r="H49" s="7">
        <f t="shared" si="12"/>
        <v>0</v>
      </c>
      <c r="I49" s="7">
        <f t="shared" si="12"/>
        <v>0</v>
      </c>
      <c r="J49" s="7">
        <v>0</v>
      </c>
      <c r="K49" s="7">
        <f t="shared" si="12"/>
        <v>0</v>
      </c>
      <c r="L49" s="7">
        <f t="shared" si="12"/>
        <v>0</v>
      </c>
      <c r="M49" s="7">
        <f t="shared" si="12"/>
        <v>9411.8915196808339</v>
      </c>
      <c r="N49" s="7">
        <f t="shared" si="12"/>
        <v>0</v>
      </c>
      <c r="O49" s="7">
        <f t="shared" si="12"/>
        <v>0</v>
      </c>
      <c r="P49" s="7">
        <f t="shared" si="12"/>
        <v>0</v>
      </c>
      <c r="Q49" s="7">
        <f t="shared" si="12"/>
        <v>0</v>
      </c>
      <c r="R49" s="7">
        <f t="shared" si="12"/>
        <v>0</v>
      </c>
      <c r="S49" s="7">
        <f t="shared" si="12"/>
        <v>0</v>
      </c>
      <c r="T49" s="7">
        <f t="shared" si="12"/>
        <v>0</v>
      </c>
      <c r="U49" s="7">
        <f t="shared" si="12"/>
        <v>0</v>
      </c>
      <c r="V49" s="7">
        <f t="shared" si="12"/>
        <v>0</v>
      </c>
      <c r="W49" s="7">
        <v>0</v>
      </c>
    </row>
    <row r="50" spans="1:23" s="7" customFormat="1" x14ac:dyDescent="0.3">
      <c r="A50" s="7" t="s">
        <v>177</v>
      </c>
      <c r="B50" s="7">
        <f t="shared" si="12"/>
        <v>26.25</v>
      </c>
      <c r="C50" s="7">
        <f t="shared" si="12"/>
        <v>0</v>
      </c>
      <c r="D50" s="7">
        <f t="shared" si="12"/>
        <v>0</v>
      </c>
      <c r="E50" s="7">
        <f t="shared" si="12"/>
        <v>0</v>
      </c>
      <c r="F50" s="7">
        <v>0</v>
      </c>
      <c r="G50" s="7">
        <f t="shared" si="12"/>
        <v>0</v>
      </c>
      <c r="H50" s="7">
        <f t="shared" si="12"/>
        <v>0</v>
      </c>
      <c r="I50" s="7">
        <f t="shared" si="12"/>
        <v>0</v>
      </c>
      <c r="J50" s="7">
        <f t="shared" si="12"/>
        <v>0</v>
      </c>
      <c r="K50" s="7">
        <f t="shared" si="12"/>
        <v>0</v>
      </c>
      <c r="L50" s="7">
        <f t="shared" si="12"/>
        <v>0</v>
      </c>
      <c r="M50" s="7">
        <f t="shared" si="12"/>
        <v>941.18915196808337</v>
      </c>
      <c r="N50" s="7">
        <f t="shared" si="12"/>
        <v>0</v>
      </c>
      <c r="O50" s="7">
        <f t="shared" si="12"/>
        <v>0</v>
      </c>
      <c r="P50" s="7">
        <f t="shared" si="12"/>
        <v>0</v>
      </c>
      <c r="Q50" s="7">
        <f t="shared" si="12"/>
        <v>0</v>
      </c>
      <c r="R50" s="7">
        <f t="shared" si="12"/>
        <v>0</v>
      </c>
      <c r="S50" s="7">
        <f t="shared" si="12"/>
        <v>0</v>
      </c>
      <c r="T50" s="7">
        <f t="shared" si="12"/>
        <v>0</v>
      </c>
      <c r="U50" s="7">
        <f t="shared" si="12"/>
        <v>0</v>
      </c>
      <c r="V50" s="7">
        <f t="shared" si="12"/>
        <v>0</v>
      </c>
      <c r="W50" s="7">
        <f t="shared" si="12"/>
        <v>0</v>
      </c>
    </row>
    <row r="51" spans="1:23" s="7" customFormat="1" x14ac:dyDescent="0.3">
      <c r="A51" s="7" t="s">
        <v>178</v>
      </c>
      <c r="B51" s="7">
        <v>0</v>
      </c>
      <c r="C51" s="7">
        <f t="shared" si="12"/>
        <v>0</v>
      </c>
      <c r="D51" s="7">
        <f t="shared" si="12"/>
        <v>0</v>
      </c>
      <c r="E51" s="7">
        <f t="shared" si="12"/>
        <v>0</v>
      </c>
      <c r="F51" s="7">
        <f t="shared" si="12"/>
        <v>0</v>
      </c>
      <c r="G51" s="7">
        <f t="shared" si="12"/>
        <v>0</v>
      </c>
      <c r="H51" s="7">
        <f t="shared" si="12"/>
        <v>0</v>
      </c>
      <c r="I51" s="7">
        <f t="shared" si="12"/>
        <v>0</v>
      </c>
      <c r="J51" s="7">
        <f t="shared" si="12"/>
        <v>0</v>
      </c>
      <c r="K51" s="7">
        <f t="shared" si="12"/>
        <v>0</v>
      </c>
      <c r="L51" s="7">
        <f t="shared" si="12"/>
        <v>0</v>
      </c>
      <c r="M51" s="7">
        <v>0</v>
      </c>
      <c r="N51" s="7">
        <f t="shared" si="12"/>
        <v>0</v>
      </c>
      <c r="O51" s="7">
        <f t="shared" si="12"/>
        <v>0</v>
      </c>
      <c r="P51" s="7">
        <f t="shared" si="12"/>
        <v>0</v>
      </c>
      <c r="Q51" s="7">
        <f t="shared" si="12"/>
        <v>0</v>
      </c>
      <c r="R51" s="7">
        <f t="shared" si="12"/>
        <v>0</v>
      </c>
      <c r="S51" s="7">
        <f t="shared" si="12"/>
        <v>0</v>
      </c>
      <c r="T51" s="7">
        <f t="shared" si="12"/>
        <v>0</v>
      </c>
      <c r="U51" s="7">
        <f t="shared" si="12"/>
        <v>0</v>
      </c>
      <c r="V51" s="7">
        <f t="shared" si="12"/>
        <v>0</v>
      </c>
      <c r="W51" s="7">
        <f t="shared" si="12"/>
        <v>0</v>
      </c>
    </row>
    <row r="52" spans="1:23" s="7" customFormat="1" x14ac:dyDescent="0.3">
      <c r="A52" s="7" t="s">
        <v>101</v>
      </c>
      <c r="B52" s="7">
        <v>4540</v>
      </c>
      <c r="C52" s="7">
        <v>0</v>
      </c>
      <c r="D52" s="7">
        <v>30</v>
      </c>
      <c r="E52" s="7">
        <v>0</v>
      </c>
      <c r="F52" s="7">
        <v>1100000</v>
      </c>
      <c r="G52" s="7">
        <v>17750000</v>
      </c>
      <c r="H52" s="7">
        <v>0</v>
      </c>
      <c r="I52" s="7">
        <v>0</v>
      </c>
      <c r="J52" s="7">
        <v>0</v>
      </c>
      <c r="K52" s="7">
        <v>0</v>
      </c>
      <c r="L52" s="7">
        <v>31839.597987411838</v>
      </c>
      <c r="M52" s="7">
        <v>20736362.453615837</v>
      </c>
      <c r="N52" s="7">
        <v>105000</v>
      </c>
      <c r="O52" s="7">
        <v>0</v>
      </c>
      <c r="P52" s="7">
        <v>0</v>
      </c>
      <c r="Q52" s="7">
        <v>26000</v>
      </c>
      <c r="R52" s="7">
        <v>280</v>
      </c>
      <c r="S52" s="7">
        <v>980</v>
      </c>
      <c r="T52" s="7">
        <v>0</v>
      </c>
      <c r="U52" s="7">
        <v>260</v>
      </c>
      <c r="V52" s="7">
        <v>62800</v>
      </c>
      <c r="W52" s="7">
        <v>13600</v>
      </c>
    </row>
    <row r="53" spans="1:23" s="7" customFormat="1" x14ac:dyDescent="0.3">
      <c r="A53" s="7" t="s">
        <v>179</v>
      </c>
      <c r="B53" s="7">
        <f t="shared" ref="B53:W56" si="13">B52/10</f>
        <v>454</v>
      </c>
      <c r="C53" s="7">
        <f t="shared" si="13"/>
        <v>0</v>
      </c>
      <c r="D53" s="7">
        <v>0</v>
      </c>
      <c r="E53" s="7">
        <f t="shared" si="13"/>
        <v>0</v>
      </c>
      <c r="F53" s="7">
        <f t="shared" si="13"/>
        <v>110000</v>
      </c>
      <c r="G53" s="7">
        <f t="shared" si="13"/>
        <v>1775000</v>
      </c>
      <c r="H53" s="7">
        <f t="shared" si="13"/>
        <v>0</v>
      </c>
      <c r="I53" s="7">
        <f t="shared" si="13"/>
        <v>0</v>
      </c>
      <c r="J53" s="7">
        <f t="shared" si="13"/>
        <v>0</v>
      </c>
      <c r="K53" s="7">
        <f t="shared" si="13"/>
        <v>0</v>
      </c>
      <c r="L53" s="7">
        <f t="shared" si="13"/>
        <v>3183.9597987411839</v>
      </c>
      <c r="M53" s="7">
        <f t="shared" si="13"/>
        <v>2073636.2453615838</v>
      </c>
      <c r="N53" s="7">
        <v>0</v>
      </c>
      <c r="O53" s="7">
        <f t="shared" si="13"/>
        <v>0</v>
      </c>
      <c r="P53" s="7">
        <f t="shared" si="13"/>
        <v>0</v>
      </c>
      <c r="Q53" s="7">
        <v>0</v>
      </c>
      <c r="R53" s="7">
        <v>0</v>
      </c>
      <c r="S53" s="7">
        <f t="shared" si="13"/>
        <v>98</v>
      </c>
      <c r="T53" s="7">
        <f t="shared" si="13"/>
        <v>0</v>
      </c>
      <c r="U53" s="7">
        <v>0</v>
      </c>
      <c r="V53" s="7">
        <v>0</v>
      </c>
      <c r="W53" s="7">
        <f t="shared" si="13"/>
        <v>1360</v>
      </c>
    </row>
    <row r="54" spans="1:23" s="7" customFormat="1" x14ac:dyDescent="0.3">
      <c r="A54" s="7" t="s">
        <v>180</v>
      </c>
      <c r="B54" s="7">
        <f t="shared" si="13"/>
        <v>45.4</v>
      </c>
      <c r="C54" s="7">
        <f t="shared" si="13"/>
        <v>0</v>
      </c>
      <c r="D54" s="7">
        <v>0</v>
      </c>
      <c r="E54" s="7">
        <f t="shared" si="13"/>
        <v>0</v>
      </c>
      <c r="F54" s="7">
        <f t="shared" si="13"/>
        <v>11000</v>
      </c>
      <c r="G54" s="7">
        <f t="shared" si="13"/>
        <v>177500</v>
      </c>
      <c r="H54" s="7">
        <f t="shared" si="13"/>
        <v>0</v>
      </c>
      <c r="I54" s="7">
        <f t="shared" si="13"/>
        <v>0</v>
      </c>
      <c r="J54" s="7">
        <f t="shared" si="13"/>
        <v>0</v>
      </c>
      <c r="K54" s="7">
        <f t="shared" si="13"/>
        <v>0</v>
      </c>
      <c r="L54" s="7">
        <v>0</v>
      </c>
      <c r="M54" s="7">
        <f t="shared" si="13"/>
        <v>207363.62453615837</v>
      </c>
      <c r="N54" s="7">
        <f t="shared" si="13"/>
        <v>0</v>
      </c>
      <c r="O54" s="7">
        <f t="shared" si="13"/>
        <v>0</v>
      </c>
      <c r="P54" s="7">
        <f t="shared" si="13"/>
        <v>0</v>
      </c>
      <c r="Q54" s="7">
        <f t="shared" si="13"/>
        <v>0</v>
      </c>
      <c r="R54" s="7">
        <f t="shared" si="13"/>
        <v>0</v>
      </c>
      <c r="S54" s="7">
        <v>0</v>
      </c>
      <c r="T54" s="7">
        <f t="shared" si="13"/>
        <v>0</v>
      </c>
      <c r="U54" s="7">
        <f t="shared" si="13"/>
        <v>0</v>
      </c>
      <c r="V54" s="7">
        <f t="shared" si="13"/>
        <v>0</v>
      </c>
      <c r="W54" s="7">
        <v>0</v>
      </c>
    </row>
    <row r="55" spans="1:23" s="7" customFormat="1" x14ac:dyDescent="0.3">
      <c r="A55" s="7" t="s">
        <v>181</v>
      </c>
      <c r="B55" s="7">
        <v>0</v>
      </c>
      <c r="C55" s="7">
        <f t="shared" si="13"/>
        <v>0</v>
      </c>
      <c r="D55" s="7">
        <f t="shared" si="13"/>
        <v>0</v>
      </c>
      <c r="E55" s="7">
        <f t="shared" si="13"/>
        <v>0</v>
      </c>
      <c r="F55" s="7">
        <f t="shared" si="13"/>
        <v>1100</v>
      </c>
      <c r="G55" s="7">
        <v>0</v>
      </c>
      <c r="H55" s="7">
        <f t="shared" si="13"/>
        <v>0</v>
      </c>
      <c r="I55" s="7">
        <f t="shared" si="13"/>
        <v>0</v>
      </c>
      <c r="J55" s="7">
        <f t="shared" si="13"/>
        <v>0</v>
      </c>
      <c r="K55" s="7">
        <f t="shared" si="13"/>
        <v>0</v>
      </c>
      <c r="L55" s="7">
        <f t="shared" si="13"/>
        <v>0</v>
      </c>
      <c r="M55" s="7">
        <f t="shared" si="13"/>
        <v>20736.362453615839</v>
      </c>
      <c r="N55" s="7">
        <f t="shared" si="13"/>
        <v>0</v>
      </c>
      <c r="O55" s="7">
        <f t="shared" si="13"/>
        <v>0</v>
      </c>
      <c r="P55" s="7">
        <f t="shared" si="13"/>
        <v>0</v>
      </c>
      <c r="Q55" s="7">
        <f t="shared" si="13"/>
        <v>0</v>
      </c>
      <c r="R55" s="7">
        <f t="shared" si="13"/>
        <v>0</v>
      </c>
      <c r="S55" s="7">
        <f t="shared" si="13"/>
        <v>0</v>
      </c>
      <c r="T55" s="7">
        <f t="shared" si="13"/>
        <v>0</v>
      </c>
      <c r="U55" s="7">
        <f t="shared" si="13"/>
        <v>0</v>
      </c>
      <c r="V55" s="7">
        <f t="shared" si="13"/>
        <v>0</v>
      </c>
      <c r="W55" s="7">
        <f t="shared" si="13"/>
        <v>0</v>
      </c>
    </row>
    <row r="56" spans="1:23" s="7" customFormat="1" x14ac:dyDescent="0.3">
      <c r="A56" s="7" t="s">
        <v>182</v>
      </c>
      <c r="B56" s="7">
        <f t="shared" si="13"/>
        <v>0</v>
      </c>
      <c r="C56" s="7">
        <f t="shared" si="13"/>
        <v>0</v>
      </c>
      <c r="D56" s="7">
        <f t="shared" si="13"/>
        <v>0</v>
      </c>
      <c r="E56" s="7">
        <f t="shared" si="13"/>
        <v>0</v>
      </c>
      <c r="F56" s="7">
        <f t="shared" si="13"/>
        <v>110</v>
      </c>
      <c r="G56" s="7">
        <f t="shared" si="13"/>
        <v>0</v>
      </c>
      <c r="H56" s="7">
        <f t="shared" si="13"/>
        <v>0</v>
      </c>
      <c r="I56" s="7">
        <f t="shared" si="13"/>
        <v>0</v>
      </c>
      <c r="J56" s="7">
        <f t="shared" si="13"/>
        <v>0</v>
      </c>
      <c r="K56" s="7">
        <f t="shared" si="13"/>
        <v>0</v>
      </c>
      <c r="L56" s="7">
        <f t="shared" si="13"/>
        <v>0</v>
      </c>
      <c r="M56" s="7">
        <f t="shared" si="13"/>
        <v>2073.6362453615839</v>
      </c>
      <c r="N56" s="7">
        <f t="shared" si="13"/>
        <v>0</v>
      </c>
      <c r="O56" s="7">
        <f t="shared" si="13"/>
        <v>0</v>
      </c>
      <c r="P56" s="7">
        <f t="shared" si="13"/>
        <v>0</v>
      </c>
      <c r="Q56" s="7">
        <f t="shared" si="13"/>
        <v>0</v>
      </c>
      <c r="R56" s="7">
        <f t="shared" si="13"/>
        <v>0</v>
      </c>
      <c r="S56" s="7">
        <f t="shared" si="13"/>
        <v>0</v>
      </c>
      <c r="T56" s="7">
        <f t="shared" si="13"/>
        <v>0</v>
      </c>
      <c r="U56" s="7">
        <f t="shared" si="13"/>
        <v>0</v>
      </c>
      <c r="V56" s="7">
        <f t="shared" si="13"/>
        <v>0</v>
      </c>
      <c r="W56" s="7">
        <f t="shared" si="13"/>
        <v>0</v>
      </c>
    </row>
    <row r="57" spans="1:23" s="7" customFormat="1" x14ac:dyDescent="0.3">
      <c r="A57" s="7" t="s">
        <v>130</v>
      </c>
      <c r="B57" s="7">
        <v>0</v>
      </c>
      <c r="C57" s="7">
        <v>0</v>
      </c>
      <c r="D57" s="7">
        <v>0</v>
      </c>
      <c r="E57" s="7">
        <v>145</v>
      </c>
      <c r="F57" s="7">
        <v>3000000</v>
      </c>
      <c r="G57" s="7">
        <v>20550000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70162126.326048225</v>
      </c>
      <c r="N57" s="7">
        <v>456000</v>
      </c>
      <c r="O57" s="7">
        <v>0</v>
      </c>
      <c r="P57" s="7">
        <v>0</v>
      </c>
      <c r="Q57" s="7">
        <v>0</v>
      </c>
      <c r="R57" s="7">
        <v>390</v>
      </c>
      <c r="S57" s="7">
        <v>580</v>
      </c>
      <c r="T57" s="7">
        <v>260</v>
      </c>
      <c r="U57" s="7">
        <v>160</v>
      </c>
      <c r="V57" s="7">
        <v>0</v>
      </c>
      <c r="W57" s="7">
        <v>158800</v>
      </c>
    </row>
    <row r="58" spans="1:23" s="7" customFormat="1" x14ac:dyDescent="0.3">
      <c r="A58" s="7" t="s">
        <v>183</v>
      </c>
      <c r="B58" s="7">
        <f t="shared" ref="B58:W61" si="14">B57/10</f>
        <v>0</v>
      </c>
      <c r="C58" s="7">
        <f t="shared" si="14"/>
        <v>0</v>
      </c>
      <c r="D58" s="7">
        <f t="shared" si="14"/>
        <v>0</v>
      </c>
      <c r="E58" s="7">
        <f t="shared" si="14"/>
        <v>14.5</v>
      </c>
      <c r="F58" s="7">
        <f t="shared" si="14"/>
        <v>300000</v>
      </c>
      <c r="G58" s="7">
        <f t="shared" si="14"/>
        <v>2055000</v>
      </c>
      <c r="H58" s="7">
        <f t="shared" si="14"/>
        <v>0</v>
      </c>
      <c r="I58" s="7">
        <f t="shared" si="14"/>
        <v>0</v>
      </c>
      <c r="J58" s="7">
        <f t="shared" si="14"/>
        <v>0</v>
      </c>
      <c r="K58" s="7">
        <f t="shared" si="14"/>
        <v>0</v>
      </c>
      <c r="L58" s="7">
        <f t="shared" si="14"/>
        <v>0</v>
      </c>
      <c r="M58" s="7">
        <f t="shared" si="14"/>
        <v>7016212.6326048225</v>
      </c>
      <c r="N58" s="7">
        <f t="shared" si="14"/>
        <v>45600</v>
      </c>
      <c r="O58" s="7">
        <f t="shared" si="14"/>
        <v>0</v>
      </c>
      <c r="P58" s="7">
        <f t="shared" si="14"/>
        <v>0</v>
      </c>
      <c r="Q58" s="7">
        <f t="shared" si="14"/>
        <v>0</v>
      </c>
      <c r="R58" s="7">
        <v>0</v>
      </c>
      <c r="S58" s="7">
        <f t="shared" si="14"/>
        <v>58</v>
      </c>
      <c r="T58" s="7">
        <v>0</v>
      </c>
      <c r="U58" s="7">
        <v>0</v>
      </c>
      <c r="V58" s="7">
        <f t="shared" si="14"/>
        <v>0</v>
      </c>
      <c r="W58" s="7">
        <f t="shared" si="14"/>
        <v>15880</v>
      </c>
    </row>
    <row r="59" spans="1:23" s="7" customFormat="1" x14ac:dyDescent="0.3">
      <c r="A59" s="7" t="s">
        <v>184</v>
      </c>
      <c r="B59" s="7">
        <f t="shared" si="14"/>
        <v>0</v>
      </c>
      <c r="C59" s="7">
        <f t="shared" si="14"/>
        <v>0</v>
      </c>
      <c r="D59" s="7">
        <f t="shared" si="14"/>
        <v>0</v>
      </c>
      <c r="E59" s="7">
        <v>0</v>
      </c>
      <c r="F59" s="7">
        <f t="shared" si="14"/>
        <v>30000</v>
      </c>
      <c r="G59" s="7">
        <f t="shared" si="14"/>
        <v>205500</v>
      </c>
      <c r="H59" s="7">
        <f t="shared" si="14"/>
        <v>0</v>
      </c>
      <c r="I59" s="7">
        <f t="shared" si="14"/>
        <v>0</v>
      </c>
      <c r="J59" s="7">
        <f t="shared" si="14"/>
        <v>0</v>
      </c>
      <c r="K59" s="7">
        <f t="shared" si="14"/>
        <v>0</v>
      </c>
      <c r="L59" s="7">
        <f t="shared" si="14"/>
        <v>0</v>
      </c>
      <c r="M59" s="7">
        <f t="shared" si="14"/>
        <v>701621.26326048223</v>
      </c>
      <c r="N59" s="7">
        <v>0</v>
      </c>
      <c r="O59" s="7">
        <f t="shared" si="14"/>
        <v>0</v>
      </c>
      <c r="P59" s="7">
        <f t="shared" si="14"/>
        <v>0</v>
      </c>
      <c r="Q59" s="7">
        <f t="shared" si="14"/>
        <v>0</v>
      </c>
      <c r="R59" s="7">
        <f t="shared" si="14"/>
        <v>0</v>
      </c>
      <c r="S59" s="7">
        <v>0</v>
      </c>
      <c r="T59" s="7">
        <f t="shared" si="14"/>
        <v>0</v>
      </c>
      <c r="U59" s="7">
        <f t="shared" si="14"/>
        <v>0</v>
      </c>
      <c r="V59" s="7">
        <f t="shared" si="14"/>
        <v>0</v>
      </c>
      <c r="W59" s="7">
        <f t="shared" si="14"/>
        <v>1588</v>
      </c>
    </row>
    <row r="60" spans="1:23" s="7" customFormat="1" x14ac:dyDescent="0.3">
      <c r="A60" s="7" t="s">
        <v>185</v>
      </c>
      <c r="B60" s="7">
        <f t="shared" si="14"/>
        <v>0</v>
      </c>
      <c r="C60" s="7">
        <f t="shared" si="14"/>
        <v>0</v>
      </c>
      <c r="D60" s="7">
        <f t="shared" si="14"/>
        <v>0</v>
      </c>
      <c r="E60" s="7">
        <f t="shared" si="14"/>
        <v>0</v>
      </c>
      <c r="F60" s="7">
        <f t="shared" si="14"/>
        <v>3000</v>
      </c>
      <c r="G60" s="7">
        <v>0</v>
      </c>
      <c r="H60" s="7">
        <f t="shared" si="14"/>
        <v>0</v>
      </c>
      <c r="I60" s="7">
        <f t="shared" si="14"/>
        <v>0</v>
      </c>
      <c r="J60" s="7">
        <f t="shared" si="14"/>
        <v>0</v>
      </c>
      <c r="K60" s="7">
        <f t="shared" si="14"/>
        <v>0</v>
      </c>
      <c r="L60" s="7">
        <f t="shared" si="14"/>
        <v>0</v>
      </c>
      <c r="M60" s="7">
        <f t="shared" si="14"/>
        <v>70162.126326048223</v>
      </c>
      <c r="N60" s="7">
        <f t="shared" si="14"/>
        <v>0</v>
      </c>
      <c r="O60" s="7">
        <f t="shared" si="14"/>
        <v>0</v>
      </c>
      <c r="P60" s="7">
        <f t="shared" si="14"/>
        <v>0</v>
      </c>
      <c r="Q60" s="7">
        <f t="shared" si="14"/>
        <v>0</v>
      </c>
      <c r="R60" s="7">
        <f t="shared" si="14"/>
        <v>0</v>
      </c>
      <c r="S60" s="7">
        <f t="shared" si="14"/>
        <v>0</v>
      </c>
      <c r="T60" s="7">
        <f t="shared" si="14"/>
        <v>0</v>
      </c>
      <c r="U60" s="7">
        <f t="shared" si="14"/>
        <v>0</v>
      </c>
      <c r="V60" s="7">
        <f t="shared" si="14"/>
        <v>0</v>
      </c>
      <c r="W60" s="7">
        <v>0</v>
      </c>
    </row>
    <row r="61" spans="1:23" s="7" customFormat="1" x14ac:dyDescent="0.3">
      <c r="A61" s="7" t="s">
        <v>186</v>
      </c>
      <c r="B61" s="7">
        <f t="shared" si="14"/>
        <v>0</v>
      </c>
      <c r="C61" s="7">
        <f t="shared" si="14"/>
        <v>0</v>
      </c>
      <c r="D61" s="7">
        <f t="shared" si="14"/>
        <v>0</v>
      </c>
      <c r="E61" s="7">
        <f t="shared" si="14"/>
        <v>0</v>
      </c>
      <c r="F61" s="7">
        <f t="shared" si="14"/>
        <v>300</v>
      </c>
      <c r="G61" s="7">
        <f t="shared" si="14"/>
        <v>0</v>
      </c>
      <c r="H61" s="7">
        <f t="shared" si="14"/>
        <v>0</v>
      </c>
      <c r="I61" s="7">
        <f t="shared" si="14"/>
        <v>0</v>
      </c>
      <c r="J61" s="7">
        <f t="shared" si="14"/>
        <v>0</v>
      </c>
      <c r="K61" s="7">
        <f t="shared" si="14"/>
        <v>0</v>
      </c>
      <c r="L61" s="7">
        <f t="shared" si="14"/>
        <v>0</v>
      </c>
      <c r="M61" s="7">
        <f t="shared" si="14"/>
        <v>7016.2126326048219</v>
      </c>
      <c r="N61" s="7">
        <f t="shared" si="14"/>
        <v>0</v>
      </c>
      <c r="O61" s="7">
        <f t="shared" si="14"/>
        <v>0</v>
      </c>
      <c r="P61" s="7">
        <f t="shared" si="14"/>
        <v>0</v>
      </c>
      <c r="Q61" s="7">
        <f t="shared" si="14"/>
        <v>0</v>
      </c>
      <c r="R61" s="7">
        <f t="shared" si="14"/>
        <v>0</v>
      </c>
      <c r="S61" s="7">
        <f t="shared" si="14"/>
        <v>0</v>
      </c>
      <c r="T61" s="7">
        <f t="shared" si="14"/>
        <v>0</v>
      </c>
      <c r="U61" s="7">
        <f t="shared" si="14"/>
        <v>0</v>
      </c>
      <c r="V61" s="7">
        <f t="shared" si="14"/>
        <v>0</v>
      </c>
      <c r="W61" s="7">
        <f t="shared" si="14"/>
        <v>0</v>
      </c>
    </row>
    <row r="62" spans="1:23" s="7" customFormat="1" x14ac:dyDescent="0.3">
      <c r="A62" s="7" t="s">
        <v>131</v>
      </c>
      <c r="B62" s="7">
        <v>0</v>
      </c>
      <c r="C62" s="7">
        <v>0</v>
      </c>
      <c r="D62" s="7">
        <v>5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479249755.27171636</v>
      </c>
      <c r="M62" s="7">
        <v>0</v>
      </c>
      <c r="N62" s="7">
        <v>0</v>
      </c>
      <c r="O62" s="7">
        <v>0</v>
      </c>
      <c r="P62" s="7">
        <v>240000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24000</v>
      </c>
    </row>
    <row r="63" spans="1:23" s="7" customFormat="1" x14ac:dyDescent="0.3">
      <c r="A63" s="7" t="s">
        <v>189</v>
      </c>
      <c r="B63" s="7">
        <f t="shared" ref="B63:W66" si="15">B62/10</f>
        <v>0</v>
      </c>
      <c r="C63" s="7">
        <f t="shared" si="15"/>
        <v>0</v>
      </c>
      <c r="D63" s="7">
        <v>0</v>
      </c>
      <c r="E63" s="7">
        <f t="shared" si="15"/>
        <v>0</v>
      </c>
      <c r="F63" s="7">
        <f t="shared" si="15"/>
        <v>0</v>
      </c>
      <c r="G63" s="7">
        <f t="shared" si="15"/>
        <v>0</v>
      </c>
      <c r="H63" s="7">
        <f t="shared" si="15"/>
        <v>0</v>
      </c>
      <c r="I63" s="7">
        <f t="shared" si="15"/>
        <v>0</v>
      </c>
      <c r="J63" s="7">
        <f t="shared" si="15"/>
        <v>0</v>
      </c>
      <c r="K63" s="7">
        <f t="shared" si="15"/>
        <v>0</v>
      </c>
      <c r="L63" s="7">
        <f t="shared" si="15"/>
        <v>47924975.527171634</v>
      </c>
      <c r="M63" s="7">
        <f t="shared" si="15"/>
        <v>0</v>
      </c>
      <c r="N63" s="7">
        <f t="shared" si="15"/>
        <v>0</v>
      </c>
      <c r="O63" s="7">
        <f t="shared" si="15"/>
        <v>0</v>
      </c>
      <c r="P63" s="7">
        <f t="shared" si="15"/>
        <v>24000</v>
      </c>
      <c r="Q63" s="7">
        <f t="shared" si="15"/>
        <v>0</v>
      </c>
      <c r="R63" s="7">
        <f t="shared" si="15"/>
        <v>0</v>
      </c>
      <c r="S63" s="7">
        <f t="shared" si="15"/>
        <v>0</v>
      </c>
      <c r="T63" s="7">
        <f t="shared" si="15"/>
        <v>0</v>
      </c>
      <c r="U63" s="7">
        <f t="shared" si="15"/>
        <v>0</v>
      </c>
      <c r="V63" s="7">
        <f t="shared" si="15"/>
        <v>0</v>
      </c>
      <c r="W63" s="7">
        <f t="shared" si="15"/>
        <v>2400</v>
      </c>
    </row>
    <row r="64" spans="1:23" s="7" customFormat="1" x14ac:dyDescent="0.3">
      <c r="A64" s="7" t="s">
        <v>187</v>
      </c>
      <c r="B64" s="7">
        <f t="shared" si="15"/>
        <v>0</v>
      </c>
      <c r="C64" s="7">
        <f t="shared" si="15"/>
        <v>0</v>
      </c>
      <c r="D64" s="7">
        <f t="shared" si="15"/>
        <v>0</v>
      </c>
      <c r="E64" s="7">
        <f t="shared" si="15"/>
        <v>0</v>
      </c>
      <c r="F64" s="7">
        <f t="shared" si="15"/>
        <v>0</v>
      </c>
      <c r="G64" s="7">
        <f t="shared" si="15"/>
        <v>0</v>
      </c>
      <c r="H64" s="7">
        <f t="shared" si="15"/>
        <v>0</v>
      </c>
      <c r="I64" s="7">
        <f t="shared" si="15"/>
        <v>0</v>
      </c>
      <c r="J64" s="7">
        <f t="shared" si="15"/>
        <v>0</v>
      </c>
      <c r="K64" s="7">
        <f t="shared" si="15"/>
        <v>0</v>
      </c>
      <c r="L64" s="7">
        <f t="shared" si="15"/>
        <v>4792497.5527171632</v>
      </c>
      <c r="M64" s="7">
        <f t="shared" si="15"/>
        <v>0</v>
      </c>
      <c r="N64" s="7">
        <f t="shared" si="15"/>
        <v>0</v>
      </c>
      <c r="O64" s="7">
        <f t="shared" si="15"/>
        <v>0</v>
      </c>
      <c r="P64" s="7">
        <v>0</v>
      </c>
      <c r="Q64" s="7">
        <f t="shared" si="15"/>
        <v>0</v>
      </c>
      <c r="R64" s="7">
        <f t="shared" si="15"/>
        <v>0</v>
      </c>
      <c r="S64" s="7">
        <f t="shared" si="15"/>
        <v>0</v>
      </c>
      <c r="T64" s="7">
        <f t="shared" si="15"/>
        <v>0</v>
      </c>
      <c r="U64" s="7">
        <f t="shared" si="15"/>
        <v>0</v>
      </c>
      <c r="V64" s="7">
        <f t="shared" si="15"/>
        <v>0</v>
      </c>
      <c r="W64" s="7">
        <v>0</v>
      </c>
    </row>
    <row r="65" spans="1:23" s="7" customFormat="1" x14ac:dyDescent="0.3">
      <c r="A65" s="7" t="s">
        <v>188</v>
      </c>
      <c r="B65" s="7">
        <f t="shared" si="15"/>
        <v>0</v>
      </c>
      <c r="C65" s="7">
        <f t="shared" si="15"/>
        <v>0</v>
      </c>
      <c r="D65" s="7">
        <f t="shared" si="15"/>
        <v>0</v>
      </c>
      <c r="E65" s="7">
        <f t="shared" si="15"/>
        <v>0</v>
      </c>
      <c r="F65" s="7">
        <f t="shared" si="15"/>
        <v>0</v>
      </c>
      <c r="G65" s="7">
        <f t="shared" si="15"/>
        <v>0</v>
      </c>
      <c r="H65" s="7">
        <f t="shared" si="15"/>
        <v>0</v>
      </c>
      <c r="I65" s="7">
        <f t="shared" si="15"/>
        <v>0</v>
      </c>
      <c r="J65" s="7">
        <f t="shared" si="15"/>
        <v>0</v>
      </c>
      <c r="K65" s="7">
        <f t="shared" si="15"/>
        <v>0</v>
      </c>
      <c r="L65" s="7">
        <f t="shared" si="15"/>
        <v>479249.75527171633</v>
      </c>
      <c r="M65" s="7">
        <f t="shared" si="15"/>
        <v>0</v>
      </c>
      <c r="N65" s="7">
        <f t="shared" si="15"/>
        <v>0</v>
      </c>
      <c r="O65" s="7">
        <f t="shared" si="15"/>
        <v>0</v>
      </c>
      <c r="P65" s="7">
        <f t="shared" si="15"/>
        <v>0</v>
      </c>
      <c r="Q65" s="7">
        <f t="shared" si="15"/>
        <v>0</v>
      </c>
      <c r="R65" s="7">
        <f t="shared" si="15"/>
        <v>0</v>
      </c>
      <c r="S65" s="7">
        <f t="shared" si="15"/>
        <v>0</v>
      </c>
      <c r="T65" s="7">
        <f t="shared" si="15"/>
        <v>0</v>
      </c>
      <c r="U65" s="7">
        <f t="shared" si="15"/>
        <v>0</v>
      </c>
      <c r="V65" s="7">
        <f t="shared" si="15"/>
        <v>0</v>
      </c>
      <c r="W65" s="7">
        <f t="shared" si="15"/>
        <v>0</v>
      </c>
    </row>
    <row r="66" spans="1:23" s="7" customFormat="1" x14ac:dyDescent="0.3">
      <c r="A66" s="7" t="s">
        <v>190</v>
      </c>
      <c r="B66" s="7">
        <f t="shared" si="15"/>
        <v>0</v>
      </c>
      <c r="C66" s="7">
        <f t="shared" si="15"/>
        <v>0</v>
      </c>
      <c r="D66" s="7">
        <f t="shared" si="15"/>
        <v>0</v>
      </c>
      <c r="E66" s="7">
        <f t="shared" si="15"/>
        <v>0</v>
      </c>
      <c r="F66" s="7">
        <f t="shared" si="15"/>
        <v>0</v>
      </c>
      <c r="G66" s="7">
        <f t="shared" si="15"/>
        <v>0</v>
      </c>
      <c r="H66" s="7">
        <f t="shared" si="15"/>
        <v>0</v>
      </c>
      <c r="I66" s="7">
        <f t="shared" si="15"/>
        <v>0</v>
      </c>
      <c r="J66" s="7">
        <f t="shared" si="15"/>
        <v>0</v>
      </c>
      <c r="K66" s="7">
        <f t="shared" si="15"/>
        <v>0</v>
      </c>
      <c r="L66" s="7">
        <f t="shared" si="15"/>
        <v>47924.975527171635</v>
      </c>
      <c r="M66" s="7">
        <f t="shared" si="15"/>
        <v>0</v>
      </c>
      <c r="N66" s="7">
        <f t="shared" si="15"/>
        <v>0</v>
      </c>
      <c r="O66" s="7">
        <f t="shared" si="15"/>
        <v>0</v>
      </c>
      <c r="P66" s="7">
        <f t="shared" si="15"/>
        <v>0</v>
      </c>
      <c r="Q66" s="7">
        <f t="shared" si="15"/>
        <v>0</v>
      </c>
      <c r="R66" s="7">
        <f t="shared" si="15"/>
        <v>0</v>
      </c>
      <c r="S66" s="7">
        <f t="shared" si="15"/>
        <v>0</v>
      </c>
      <c r="T66" s="7">
        <f t="shared" si="15"/>
        <v>0</v>
      </c>
      <c r="U66" s="7">
        <f t="shared" si="15"/>
        <v>0</v>
      </c>
      <c r="V66" s="7">
        <f t="shared" si="15"/>
        <v>0</v>
      </c>
      <c r="W66" s="7">
        <f t="shared" si="15"/>
        <v>0</v>
      </c>
    </row>
    <row r="67" spans="1:23" s="7" customFormat="1" x14ac:dyDescent="0.3">
      <c r="A67" s="7" t="s">
        <v>215</v>
      </c>
      <c r="B67" s="7">
        <v>5000</v>
      </c>
      <c r="C67" s="7">
        <v>0</v>
      </c>
      <c r="D67" s="7">
        <v>0</v>
      </c>
      <c r="E67" s="7">
        <v>505</v>
      </c>
      <c r="F67" s="7">
        <v>6818181.8181818174</v>
      </c>
      <c r="G67" s="7">
        <v>122139.731228668</v>
      </c>
      <c r="H67" s="7">
        <v>597915.70380333101</v>
      </c>
      <c r="I67" s="7">
        <v>0</v>
      </c>
      <c r="J67" s="7">
        <v>0</v>
      </c>
      <c r="K67" s="7">
        <v>0</v>
      </c>
      <c r="L67" s="7">
        <v>0</v>
      </c>
      <c r="M67" s="7">
        <v>45445023.683248714</v>
      </c>
      <c r="N67" s="7">
        <v>224000</v>
      </c>
      <c r="O67" s="7">
        <v>0</v>
      </c>
      <c r="P67" s="7">
        <v>0</v>
      </c>
      <c r="Q67" s="7">
        <v>0</v>
      </c>
      <c r="R67" s="7">
        <v>560</v>
      </c>
      <c r="S67" s="7">
        <v>210</v>
      </c>
      <c r="T67" s="7">
        <v>0</v>
      </c>
      <c r="U67" s="7">
        <v>180</v>
      </c>
      <c r="V67" s="7">
        <v>212000</v>
      </c>
      <c r="W67" s="7">
        <v>181600</v>
      </c>
    </row>
    <row r="68" spans="1:23" s="7" customFormat="1" x14ac:dyDescent="0.3">
      <c r="A68" s="7" t="s">
        <v>216</v>
      </c>
      <c r="B68" s="7">
        <f t="shared" ref="B68:W71" si="16">B67/10</f>
        <v>500</v>
      </c>
      <c r="C68" s="7">
        <f t="shared" si="16"/>
        <v>0</v>
      </c>
      <c r="D68" s="7">
        <f t="shared" si="16"/>
        <v>0</v>
      </c>
      <c r="E68" s="7">
        <f t="shared" si="16"/>
        <v>50.5</v>
      </c>
      <c r="F68" s="7">
        <f t="shared" si="16"/>
        <v>681818.18181818177</v>
      </c>
      <c r="G68" s="7">
        <v>0</v>
      </c>
      <c r="H68" s="7">
        <f t="shared" si="16"/>
        <v>59791.570380333098</v>
      </c>
      <c r="I68" s="7">
        <f t="shared" si="16"/>
        <v>0</v>
      </c>
      <c r="J68" s="7">
        <f t="shared" si="16"/>
        <v>0</v>
      </c>
      <c r="K68" s="7">
        <f t="shared" si="16"/>
        <v>0</v>
      </c>
      <c r="L68" s="7">
        <f t="shared" si="16"/>
        <v>0</v>
      </c>
      <c r="M68" s="7">
        <f t="shared" si="16"/>
        <v>4544502.3683248712</v>
      </c>
      <c r="N68" s="7">
        <f t="shared" si="16"/>
        <v>22400</v>
      </c>
      <c r="O68" s="7">
        <f t="shared" si="16"/>
        <v>0</v>
      </c>
      <c r="P68" s="7">
        <f t="shared" si="16"/>
        <v>0</v>
      </c>
      <c r="Q68" s="7">
        <f t="shared" si="16"/>
        <v>0</v>
      </c>
      <c r="R68" s="7">
        <f t="shared" si="16"/>
        <v>56</v>
      </c>
      <c r="S68" s="7">
        <v>0</v>
      </c>
      <c r="T68" s="7">
        <f t="shared" si="16"/>
        <v>0</v>
      </c>
      <c r="U68" s="7">
        <v>0</v>
      </c>
      <c r="V68" s="7">
        <v>0</v>
      </c>
      <c r="W68" s="7">
        <f t="shared" si="16"/>
        <v>18160</v>
      </c>
    </row>
    <row r="69" spans="1:23" s="7" customFormat="1" x14ac:dyDescent="0.3">
      <c r="A69" s="7" t="s">
        <v>217</v>
      </c>
      <c r="B69" s="7">
        <f t="shared" si="16"/>
        <v>50</v>
      </c>
      <c r="C69" s="7">
        <f t="shared" si="16"/>
        <v>0</v>
      </c>
      <c r="D69" s="7">
        <f t="shared" si="16"/>
        <v>0</v>
      </c>
      <c r="E69" s="7">
        <f t="shared" si="16"/>
        <v>5.05</v>
      </c>
      <c r="F69" s="7">
        <f t="shared" si="16"/>
        <v>68181.818181818177</v>
      </c>
      <c r="G69" s="7">
        <f t="shared" si="16"/>
        <v>0</v>
      </c>
      <c r="H69" s="7">
        <v>0</v>
      </c>
      <c r="I69" s="7">
        <f t="shared" si="16"/>
        <v>0</v>
      </c>
      <c r="J69" s="7">
        <f t="shared" si="16"/>
        <v>0</v>
      </c>
      <c r="K69" s="7">
        <f t="shared" si="16"/>
        <v>0</v>
      </c>
      <c r="L69" s="7">
        <f t="shared" si="16"/>
        <v>0</v>
      </c>
      <c r="M69" s="7">
        <f t="shared" si="16"/>
        <v>454450.23683248711</v>
      </c>
      <c r="N69" s="7">
        <v>0</v>
      </c>
      <c r="O69" s="7">
        <f t="shared" si="16"/>
        <v>0</v>
      </c>
      <c r="P69" s="7">
        <f t="shared" si="16"/>
        <v>0</v>
      </c>
      <c r="Q69" s="7">
        <f t="shared" si="16"/>
        <v>0</v>
      </c>
      <c r="R69" s="7">
        <v>0</v>
      </c>
      <c r="S69" s="7">
        <f t="shared" si="16"/>
        <v>0</v>
      </c>
      <c r="T69" s="7">
        <f t="shared" si="16"/>
        <v>0</v>
      </c>
      <c r="U69" s="7">
        <f t="shared" si="16"/>
        <v>0</v>
      </c>
      <c r="V69" s="7">
        <f t="shared" si="16"/>
        <v>0</v>
      </c>
      <c r="W69" s="7">
        <f t="shared" si="16"/>
        <v>1816</v>
      </c>
    </row>
    <row r="70" spans="1:23" s="7" customFormat="1" x14ac:dyDescent="0.3">
      <c r="A70" s="7" t="s">
        <v>218</v>
      </c>
      <c r="B70" s="7">
        <f t="shared" si="16"/>
        <v>5</v>
      </c>
      <c r="C70" s="7">
        <f t="shared" si="16"/>
        <v>0</v>
      </c>
      <c r="D70" s="7">
        <f t="shared" si="16"/>
        <v>0</v>
      </c>
      <c r="E70" s="7">
        <v>0</v>
      </c>
      <c r="F70" s="7">
        <f t="shared" si="16"/>
        <v>6818.181818181818</v>
      </c>
      <c r="G70" s="7">
        <f t="shared" si="16"/>
        <v>0</v>
      </c>
      <c r="H70" s="7">
        <f t="shared" si="16"/>
        <v>0</v>
      </c>
      <c r="I70" s="7">
        <f t="shared" si="16"/>
        <v>0</v>
      </c>
      <c r="J70" s="7">
        <f t="shared" si="16"/>
        <v>0</v>
      </c>
      <c r="K70" s="7">
        <f t="shared" si="16"/>
        <v>0</v>
      </c>
      <c r="L70" s="7">
        <f t="shared" si="16"/>
        <v>0</v>
      </c>
      <c r="M70" s="7">
        <f t="shared" si="16"/>
        <v>45445.023683248713</v>
      </c>
      <c r="N70" s="7">
        <f t="shared" si="16"/>
        <v>0</v>
      </c>
      <c r="O70" s="7">
        <f t="shared" si="16"/>
        <v>0</v>
      </c>
      <c r="P70" s="7">
        <f t="shared" si="16"/>
        <v>0</v>
      </c>
      <c r="Q70" s="7">
        <f t="shared" si="16"/>
        <v>0</v>
      </c>
      <c r="R70" s="7">
        <f t="shared" si="16"/>
        <v>0</v>
      </c>
      <c r="S70" s="7">
        <f t="shared" si="16"/>
        <v>0</v>
      </c>
      <c r="T70" s="7">
        <f t="shared" si="16"/>
        <v>0</v>
      </c>
      <c r="U70" s="7">
        <f t="shared" si="16"/>
        <v>0</v>
      </c>
      <c r="V70" s="7">
        <f t="shared" si="16"/>
        <v>0</v>
      </c>
      <c r="W70" s="7">
        <v>0</v>
      </c>
    </row>
    <row r="71" spans="1:23" s="7" customFormat="1" x14ac:dyDescent="0.3">
      <c r="A71" s="7" t="s">
        <v>219</v>
      </c>
      <c r="B71" s="7">
        <v>0</v>
      </c>
      <c r="C71" s="7">
        <f t="shared" si="16"/>
        <v>0</v>
      </c>
      <c r="D71" s="7">
        <f t="shared" si="16"/>
        <v>0</v>
      </c>
      <c r="E71" s="7">
        <f t="shared" si="16"/>
        <v>0</v>
      </c>
      <c r="F71" s="7">
        <f t="shared" si="16"/>
        <v>681.81818181818176</v>
      </c>
      <c r="G71" s="7">
        <f t="shared" si="16"/>
        <v>0</v>
      </c>
      <c r="H71" s="7">
        <f t="shared" si="16"/>
        <v>0</v>
      </c>
      <c r="I71" s="7">
        <f t="shared" si="16"/>
        <v>0</v>
      </c>
      <c r="J71" s="7">
        <f t="shared" si="16"/>
        <v>0</v>
      </c>
      <c r="K71" s="7">
        <f t="shared" si="16"/>
        <v>0</v>
      </c>
      <c r="L71" s="7">
        <f t="shared" si="16"/>
        <v>0</v>
      </c>
      <c r="M71" s="7">
        <f t="shared" si="16"/>
        <v>4544.502368324871</v>
      </c>
      <c r="N71" s="7">
        <f t="shared" si="16"/>
        <v>0</v>
      </c>
      <c r="O71" s="7">
        <f t="shared" si="16"/>
        <v>0</v>
      </c>
      <c r="P71" s="7">
        <f t="shared" si="16"/>
        <v>0</v>
      </c>
      <c r="Q71" s="7">
        <f t="shared" si="16"/>
        <v>0</v>
      </c>
      <c r="R71" s="7">
        <f t="shared" si="16"/>
        <v>0</v>
      </c>
      <c r="S71" s="7">
        <f t="shared" si="16"/>
        <v>0</v>
      </c>
      <c r="T71" s="7">
        <f t="shared" si="16"/>
        <v>0</v>
      </c>
      <c r="U71" s="7">
        <f t="shared" si="16"/>
        <v>0</v>
      </c>
      <c r="V71" s="7">
        <f t="shared" si="16"/>
        <v>0</v>
      </c>
      <c r="W71" s="7">
        <f t="shared" si="16"/>
        <v>0</v>
      </c>
    </row>
    <row r="72" spans="1:23" s="7" customFormat="1" x14ac:dyDescent="0.3">
      <c r="A72" s="7" t="s">
        <v>139</v>
      </c>
      <c r="B72" s="7">
        <v>9400</v>
      </c>
      <c r="C72" s="7">
        <v>0</v>
      </c>
      <c r="D72" s="7">
        <v>0</v>
      </c>
      <c r="E72" s="7">
        <v>35</v>
      </c>
      <c r="F72" s="7">
        <v>5800000</v>
      </c>
      <c r="G72" s="7">
        <v>5631135.2698009498</v>
      </c>
      <c r="H72" s="7">
        <v>0</v>
      </c>
      <c r="I72" s="7">
        <v>2006790.1467098286</v>
      </c>
      <c r="J72" s="7">
        <v>0</v>
      </c>
      <c r="K72" s="7">
        <v>0</v>
      </c>
      <c r="L72" s="7">
        <v>0</v>
      </c>
      <c r="M72" s="7">
        <v>35350147.255879134</v>
      </c>
      <c r="N72" s="7">
        <v>276000</v>
      </c>
      <c r="O72" s="7">
        <v>0</v>
      </c>
      <c r="P72" s="7">
        <v>0</v>
      </c>
      <c r="Q72" s="7">
        <v>0</v>
      </c>
      <c r="R72" s="7">
        <v>540</v>
      </c>
      <c r="S72" s="7">
        <v>320</v>
      </c>
      <c r="T72" s="7">
        <v>0</v>
      </c>
      <c r="U72" s="7">
        <v>240</v>
      </c>
      <c r="V72" s="7">
        <v>700000</v>
      </c>
      <c r="W72" s="7">
        <v>31600</v>
      </c>
    </row>
    <row r="73" spans="1:23" x14ac:dyDescent="0.3">
      <c r="A73" s="7" t="s">
        <v>191</v>
      </c>
      <c r="B73" s="7">
        <f t="shared" ref="B73:W76" si="17">B72/10</f>
        <v>940</v>
      </c>
      <c r="C73" s="7">
        <f t="shared" si="17"/>
        <v>0</v>
      </c>
      <c r="D73" s="7">
        <f t="shared" si="17"/>
        <v>0</v>
      </c>
      <c r="E73" s="7">
        <v>0</v>
      </c>
      <c r="F73" s="7">
        <f t="shared" si="17"/>
        <v>580000</v>
      </c>
      <c r="G73" s="7">
        <f t="shared" si="17"/>
        <v>563113.52698009496</v>
      </c>
      <c r="H73" s="7">
        <f t="shared" si="17"/>
        <v>0</v>
      </c>
      <c r="I73" s="7">
        <f t="shared" si="17"/>
        <v>200679.01467098287</v>
      </c>
      <c r="J73" s="7">
        <f t="shared" si="17"/>
        <v>0</v>
      </c>
      <c r="K73" s="7">
        <f t="shared" si="17"/>
        <v>0</v>
      </c>
      <c r="L73" s="7">
        <f t="shared" si="17"/>
        <v>0</v>
      </c>
      <c r="M73" s="7">
        <f t="shared" si="17"/>
        <v>3535014.7255879133</v>
      </c>
      <c r="N73" s="7">
        <f t="shared" si="17"/>
        <v>27600</v>
      </c>
      <c r="O73" s="7">
        <f t="shared" si="17"/>
        <v>0</v>
      </c>
      <c r="P73" s="7">
        <f t="shared" si="17"/>
        <v>0</v>
      </c>
      <c r="Q73" s="7">
        <f t="shared" si="17"/>
        <v>0</v>
      </c>
      <c r="R73" s="7">
        <f t="shared" si="17"/>
        <v>54</v>
      </c>
      <c r="S73" s="7">
        <v>0</v>
      </c>
      <c r="T73" s="7">
        <f t="shared" si="17"/>
        <v>0</v>
      </c>
      <c r="U73" s="7">
        <v>0</v>
      </c>
      <c r="V73" s="7">
        <f t="shared" si="17"/>
        <v>70000</v>
      </c>
      <c r="W73" s="7">
        <f t="shared" si="17"/>
        <v>3160</v>
      </c>
    </row>
    <row r="74" spans="1:23" x14ac:dyDescent="0.3">
      <c r="A74" s="7" t="s">
        <v>192</v>
      </c>
      <c r="B74" s="7">
        <f t="shared" si="17"/>
        <v>94</v>
      </c>
      <c r="C74" s="7">
        <f t="shared" si="17"/>
        <v>0</v>
      </c>
      <c r="D74" s="7">
        <f t="shared" si="17"/>
        <v>0</v>
      </c>
      <c r="E74" s="7">
        <f t="shared" si="17"/>
        <v>0</v>
      </c>
      <c r="F74" s="7">
        <f t="shared" si="17"/>
        <v>58000</v>
      </c>
      <c r="G74" s="7">
        <v>0</v>
      </c>
      <c r="H74" s="7">
        <f t="shared" si="17"/>
        <v>0</v>
      </c>
      <c r="I74" s="7">
        <v>0</v>
      </c>
      <c r="J74" s="7">
        <f t="shared" si="17"/>
        <v>0</v>
      </c>
      <c r="K74" s="7">
        <f t="shared" si="17"/>
        <v>0</v>
      </c>
      <c r="L74" s="7">
        <f t="shared" si="17"/>
        <v>0</v>
      </c>
      <c r="M74" s="7">
        <f t="shared" si="17"/>
        <v>353501.47255879134</v>
      </c>
      <c r="N74" s="7">
        <v>0</v>
      </c>
      <c r="O74" s="7">
        <f t="shared" si="17"/>
        <v>0</v>
      </c>
      <c r="P74" s="7">
        <f t="shared" si="17"/>
        <v>0</v>
      </c>
      <c r="Q74" s="7">
        <f t="shared" si="17"/>
        <v>0</v>
      </c>
      <c r="R74" s="7">
        <v>0</v>
      </c>
      <c r="S74" s="7">
        <f t="shared" si="17"/>
        <v>0</v>
      </c>
      <c r="T74" s="7">
        <f t="shared" si="17"/>
        <v>0</v>
      </c>
      <c r="U74" s="7">
        <f t="shared" si="17"/>
        <v>0</v>
      </c>
      <c r="V74" s="7">
        <v>0</v>
      </c>
      <c r="W74" s="7">
        <v>0</v>
      </c>
    </row>
    <row r="75" spans="1:23" x14ac:dyDescent="0.3">
      <c r="A75" s="7" t="s">
        <v>193</v>
      </c>
      <c r="B75" s="7">
        <f t="shared" si="17"/>
        <v>9.4</v>
      </c>
      <c r="C75" s="7">
        <f t="shared" si="17"/>
        <v>0</v>
      </c>
      <c r="D75" s="7">
        <f t="shared" si="17"/>
        <v>0</v>
      </c>
      <c r="E75" s="7">
        <f t="shared" si="17"/>
        <v>0</v>
      </c>
      <c r="F75" s="7">
        <f t="shared" si="17"/>
        <v>5800</v>
      </c>
      <c r="G75" s="7">
        <f t="shared" si="17"/>
        <v>0</v>
      </c>
      <c r="H75" s="7">
        <f t="shared" si="17"/>
        <v>0</v>
      </c>
      <c r="I75" s="7">
        <f t="shared" si="17"/>
        <v>0</v>
      </c>
      <c r="J75" s="7">
        <f t="shared" si="17"/>
        <v>0</v>
      </c>
      <c r="K75" s="7">
        <f t="shared" si="17"/>
        <v>0</v>
      </c>
      <c r="L75" s="7">
        <f t="shared" si="17"/>
        <v>0</v>
      </c>
      <c r="M75" s="7">
        <f t="shared" si="17"/>
        <v>35350.147255879136</v>
      </c>
      <c r="N75" s="7">
        <f t="shared" si="17"/>
        <v>0</v>
      </c>
      <c r="O75" s="7">
        <f t="shared" si="17"/>
        <v>0</v>
      </c>
      <c r="P75" s="7">
        <f t="shared" si="17"/>
        <v>0</v>
      </c>
      <c r="Q75" s="7">
        <f t="shared" si="17"/>
        <v>0</v>
      </c>
      <c r="R75" s="7">
        <f t="shared" si="17"/>
        <v>0</v>
      </c>
      <c r="S75" s="7">
        <f t="shared" si="17"/>
        <v>0</v>
      </c>
      <c r="T75" s="7">
        <f t="shared" si="17"/>
        <v>0</v>
      </c>
      <c r="U75" s="7">
        <f t="shared" si="17"/>
        <v>0</v>
      </c>
      <c r="V75" s="7">
        <f t="shared" si="17"/>
        <v>0</v>
      </c>
      <c r="W75" s="7">
        <f t="shared" si="17"/>
        <v>0</v>
      </c>
    </row>
    <row r="76" spans="1:23" x14ac:dyDescent="0.3">
      <c r="A76" s="7" t="s">
        <v>194</v>
      </c>
      <c r="B76" s="7">
        <v>0</v>
      </c>
      <c r="C76" s="7">
        <f t="shared" si="17"/>
        <v>0</v>
      </c>
      <c r="D76" s="7">
        <f t="shared" si="17"/>
        <v>0</v>
      </c>
      <c r="E76" s="7">
        <f t="shared" si="17"/>
        <v>0</v>
      </c>
      <c r="F76" s="7">
        <f t="shared" si="17"/>
        <v>580</v>
      </c>
      <c r="G76" s="7">
        <f t="shared" si="17"/>
        <v>0</v>
      </c>
      <c r="H76" s="7">
        <f t="shared" si="17"/>
        <v>0</v>
      </c>
      <c r="I76" s="7">
        <f t="shared" si="17"/>
        <v>0</v>
      </c>
      <c r="J76" s="7">
        <f t="shared" si="17"/>
        <v>0</v>
      </c>
      <c r="K76" s="7">
        <f t="shared" si="17"/>
        <v>0</v>
      </c>
      <c r="L76" s="7">
        <f t="shared" si="17"/>
        <v>0</v>
      </c>
      <c r="M76" s="7">
        <f t="shared" si="17"/>
        <v>3535.0147255879137</v>
      </c>
      <c r="N76" s="7">
        <f t="shared" si="17"/>
        <v>0</v>
      </c>
      <c r="O76" s="7">
        <f t="shared" si="17"/>
        <v>0</v>
      </c>
      <c r="P76" s="7">
        <f t="shared" si="17"/>
        <v>0</v>
      </c>
      <c r="Q76" s="7">
        <f t="shared" si="17"/>
        <v>0</v>
      </c>
      <c r="R76" s="7">
        <f t="shared" si="17"/>
        <v>0</v>
      </c>
      <c r="S76" s="7">
        <f t="shared" si="17"/>
        <v>0</v>
      </c>
      <c r="T76" s="7">
        <f t="shared" si="17"/>
        <v>0</v>
      </c>
      <c r="U76" s="7">
        <f t="shared" si="17"/>
        <v>0</v>
      </c>
      <c r="V76" s="7">
        <f t="shared" si="17"/>
        <v>0</v>
      </c>
      <c r="W76" s="7">
        <f t="shared" si="17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B1F5-F587-4907-95B9-2038558D2E9E}">
  <dimension ref="A1:X76"/>
  <sheetViews>
    <sheetView workbookViewId="0">
      <selection sqref="A1:XFD1048576"/>
    </sheetView>
  </sheetViews>
  <sheetFormatPr baseColWidth="10" defaultRowHeight="14.4" x14ac:dyDescent="0.3"/>
  <cols>
    <col min="1" max="1" width="14.33203125" style="3" bestFit="1" customWidth="1"/>
    <col min="2" max="2" width="13.44140625" style="3" bestFit="1" customWidth="1"/>
    <col min="3" max="6" width="11.6640625" style="3" bestFit="1" customWidth="1"/>
    <col min="7" max="7" width="13.44140625" style="3" bestFit="1" customWidth="1"/>
    <col min="8" max="9" width="12.44140625" style="3" bestFit="1" customWidth="1"/>
    <col min="10" max="10" width="11.6640625" style="3" bestFit="1" customWidth="1"/>
    <col min="11" max="11" width="12.44140625" style="3" bestFit="1" customWidth="1"/>
    <col min="12" max="13" width="15.44140625" style="3" bestFit="1" customWidth="1"/>
    <col min="14" max="15" width="12.44140625" style="3" bestFit="1" customWidth="1"/>
    <col min="16" max="18" width="13.44140625" style="3" bestFit="1" customWidth="1"/>
    <col min="19" max="24" width="11.6640625" style="3" bestFit="1" customWidth="1"/>
    <col min="25" max="16384" width="11.5546875" style="3"/>
  </cols>
  <sheetData>
    <row r="1" spans="1:24" s="3" customFormat="1" x14ac:dyDescent="0.3">
      <c r="A1" s="3" t="s">
        <v>149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15</v>
      </c>
      <c r="M1" s="3" t="s">
        <v>16</v>
      </c>
      <c r="N1" s="3" t="s">
        <v>18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</row>
    <row r="2" spans="1:24" s="7" customFormat="1" x14ac:dyDescent="0.3">
      <c r="A2" s="7" t="s">
        <v>33</v>
      </c>
      <c r="B2" s="7">
        <v>200000</v>
      </c>
      <c r="C2" s="7">
        <v>1154.5454545454545</v>
      </c>
      <c r="D2" s="7">
        <v>0</v>
      </c>
      <c r="E2" s="7">
        <v>1300</v>
      </c>
      <c r="F2" s="7">
        <v>30</v>
      </c>
      <c r="G2" s="7">
        <v>10000</v>
      </c>
      <c r="H2" s="7">
        <v>30100000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5974482.5459294254</v>
      </c>
      <c r="O2" s="7">
        <v>183000</v>
      </c>
      <c r="P2" s="7">
        <v>0</v>
      </c>
      <c r="Q2" s="7">
        <v>0</v>
      </c>
      <c r="R2" s="7">
        <v>0</v>
      </c>
      <c r="S2" s="7">
        <v>390</v>
      </c>
      <c r="T2" s="7">
        <v>1240</v>
      </c>
      <c r="U2" s="7">
        <v>0</v>
      </c>
      <c r="V2" s="7">
        <v>430</v>
      </c>
      <c r="W2" s="7">
        <v>130000</v>
      </c>
      <c r="X2" s="7">
        <v>91200</v>
      </c>
    </row>
    <row r="3" spans="1:24" s="7" customFormat="1" x14ac:dyDescent="0.3">
      <c r="A3" s="7" t="s">
        <v>155</v>
      </c>
      <c r="B3" s="7">
        <f t="shared" ref="B3:L6" si="0">B2/10</f>
        <v>20000</v>
      </c>
      <c r="C3" s="7">
        <f t="shared" si="0"/>
        <v>115.45454545454545</v>
      </c>
      <c r="D3" s="7">
        <f t="shared" si="0"/>
        <v>0</v>
      </c>
      <c r="E3" s="7">
        <f t="shared" si="0"/>
        <v>130</v>
      </c>
      <c r="F3" s="7">
        <v>0</v>
      </c>
      <c r="G3" s="7">
        <f t="shared" si="0"/>
        <v>1000</v>
      </c>
      <c r="H3" s="7">
        <f t="shared" si="0"/>
        <v>3010000</v>
      </c>
      <c r="I3" s="7">
        <f t="shared" si="0"/>
        <v>0</v>
      </c>
      <c r="J3" s="7">
        <f t="shared" si="0"/>
        <v>0</v>
      </c>
      <c r="K3" s="7">
        <f t="shared" si="0"/>
        <v>0</v>
      </c>
      <c r="L3" s="7">
        <f t="shared" si="0"/>
        <v>0</v>
      </c>
      <c r="M3" s="7">
        <f t="shared" ref="M3:X6" si="1">M2/10</f>
        <v>0</v>
      </c>
      <c r="N3" s="7">
        <f t="shared" si="1"/>
        <v>597448.25459294254</v>
      </c>
      <c r="O3" s="7">
        <f t="shared" si="1"/>
        <v>18300</v>
      </c>
      <c r="P3" s="7">
        <f t="shared" si="1"/>
        <v>0</v>
      </c>
      <c r="Q3" s="7">
        <f t="shared" si="1"/>
        <v>0</v>
      </c>
      <c r="R3" s="7">
        <f t="shared" si="1"/>
        <v>0</v>
      </c>
      <c r="S3" s="7">
        <v>0</v>
      </c>
      <c r="T3" s="7">
        <f t="shared" si="1"/>
        <v>124</v>
      </c>
      <c r="U3" s="7">
        <f t="shared" si="1"/>
        <v>0</v>
      </c>
      <c r="V3" s="7">
        <v>0</v>
      </c>
      <c r="W3" s="7">
        <v>0</v>
      </c>
      <c r="X3" s="7">
        <f t="shared" si="1"/>
        <v>9120</v>
      </c>
    </row>
    <row r="4" spans="1:24" s="7" customFormat="1" x14ac:dyDescent="0.3">
      <c r="A4" s="7" t="s">
        <v>156</v>
      </c>
      <c r="B4" s="7">
        <f t="shared" si="0"/>
        <v>2000</v>
      </c>
      <c r="C4" s="7">
        <f t="shared" si="0"/>
        <v>11.545454545454545</v>
      </c>
      <c r="D4" s="7">
        <f t="shared" si="0"/>
        <v>0</v>
      </c>
      <c r="E4" s="7">
        <f t="shared" si="0"/>
        <v>13</v>
      </c>
      <c r="F4" s="7">
        <f t="shared" si="0"/>
        <v>0</v>
      </c>
      <c r="G4" s="7">
        <f t="shared" si="0"/>
        <v>100</v>
      </c>
      <c r="H4" s="7">
        <f t="shared" si="0"/>
        <v>301000</v>
      </c>
      <c r="I4" s="7">
        <f t="shared" si="0"/>
        <v>0</v>
      </c>
      <c r="J4" s="7">
        <f t="shared" si="0"/>
        <v>0</v>
      </c>
      <c r="K4" s="7">
        <f t="shared" si="0"/>
        <v>0</v>
      </c>
      <c r="L4" s="7">
        <f t="shared" si="0"/>
        <v>0</v>
      </c>
      <c r="M4" s="7">
        <f t="shared" si="1"/>
        <v>0</v>
      </c>
      <c r="N4" s="7">
        <f t="shared" si="1"/>
        <v>59744.825459294254</v>
      </c>
      <c r="O4" s="7">
        <v>0</v>
      </c>
      <c r="P4" s="7">
        <f t="shared" si="1"/>
        <v>0</v>
      </c>
      <c r="Q4" s="7">
        <f t="shared" si="1"/>
        <v>0</v>
      </c>
      <c r="R4" s="7">
        <f t="shared" si="1"/>
        <v>0</v>
      </c>
      <c r="S4" s="7">
        <f t="shared" si="1"/>
        <v>0</v>
      </c>
      <c r="T4" s="7">
        <v>0</v>
      </c>
      <c r="U4" s="7">
        <f t="shared" si="1"/>
        <v>0</v>
      </c>
      <c r="V4" s="7">
        <f t="shared" si="1"/>
        <v>0</v>
      </c>
      <c r="W4" s="7">
        <f t="shared" si="1"/>
        <v>0</v>
      </c>
      <c r="X4" s="7">
        <f t="shared" si="1"/>
        <v>912</v>
      </c>
    </row>
    <row r="5" spans="1:24" s="7" customFormat="1" x14ac:dyDescent="0.3">
      <c r="A5" s="7" t="s">
        <v>157</v>
      </c>
      <c r="B5" s="7">
        <f t="shared" si="0"/>
        <v>200</v>
      </c>
      <c r="C5" s="7">
        <v>0</v>
      </c>
      <c r="D5" s="7">
        <f t="shared" si="0"/>
        <v>0</v>
      </c>
      <c r="E5" s="7">
        <v>0</v>
      </c>
      <c r="F5" s="7">
        <f t="shared" si="0"/>
        <v>0</v>
      </c>
      <c r="G5" s="7">
        <v>0</v>
      </c>
      <c r="H5" s="7"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1"/>
        <v>0</v>
      </c>
      <c r="N5" s="7">
        <f t="shared" si="1"/>
        <v>5974.4825459294252</v>
      </c>
      <c r="O5" s="7">
        <f t="shared" si="1"/>
        <v>0</v>
      </c>
      <c r="P5" s="7">
        <f t="shared" si="1"/>
        <v>0</v>
      </c>
      <c r="Q5" s="7">
        <f t="shared" si="1"/>
        <v>0</v>
      </c>
      <c r="R5" s="7">
        <f t="shared" si="1"/>
        <v>0</v>
      </c>
      <c r="S5" s="7">
        <f t="shared" si="1"/>
        <v>0</v>
      </c>
      <c r="T5" s="7">
        <f t="shared" si="1"/>
        <v>0</v>
      </c>
      <c r="U5" s="7">
        <f t="shared" si="1"/>
        <v>0</v>
      </c>
      <c r="V5" s="7">
        <f t="shared" si="1"/>
        <v>0</v>
      </c>
      <c r="W5" s="7">
        <f t="shared" si="1"/>
        <v>0</v>
      </c>
      <c r="X5" s="7">
        <v>0</v>
      </c>
    </row>
    <row r="6" spans="1:24" s="7" customFormat="1" x14ac:dyDescent="0.3">
      <c r="A6" s="7" t="s">
        <v>158</v>
      </c>
      <c r="B6" s="7">
        <f t="shared" si="0"/>
        <v>20</v>
      </c>
      <c r="C6" s="7">
        <f t="shared" si="0"/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1"/>
        <v>0</v>
      </c>
      <c r="N6" s="7">
        <f t="shared" si="1"/>
        <v>597.44825459294248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0</v>
      </c>
      <c r="V6" s="7">
        <f t="shared" si="1"/>
        <v>0</v>
      </c>
      <c r="W6" s="7">
        <f t="shared" si="1"/>
        <v>0</v>
      </c>
      <c r="X6" s="7">
        <f t="shared" si="1"/>
        <v>0</v>
      </c>
    </row>
    <row r="7" spans="1:24" s="7" customFormat="1" x14ac:dyDescent="0.3">
      <c r="A7" s="7" t="s">
        <v>39</v>
      </c>
      <c r="B7" s="7">
        <v>2272727</v>
      </c>
      <c r="C7" s="7">
        <v>0</v>
      </c>
      <c r="D7" s="7">
        <v>0</v>
      </c>
      <c r="E7" s="7">
        <v>35350</v>
      </c>
      <c r="F7" s="7">
        <v>0</v>
      </c>
      <c r="G7" s="7">
        <v>5454.545454545455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204737609.89520222</v>
      </c>
      <c r="N7" s="7">
        <v>54619.885304896052</v>
      </c>
      <c r="O7" s="7">
        <v>0</v>
      </c>
      <c r="P7" s="7">
        <v>0</v>
      </c>
      <c r="Q7" s="7">
        <v>11700000</v>
      </c>
      <c r="R7" s="7">
        <v>0</v>
      </c>
      <c r="S7" s="7">
        <v>66</v>
      </c>
      <c r="T7" s="7">
        <v>50</v>
      </c>
      <c r="U7" s="7">
        <v>0</v>
      </c>
      <c r="V7" s="7">
        <v>154</v>
      </c>
      <c r="W7" s="7">
        <v>0</v>
      </c>
      <c r="X7" s="7">
        <v>229600</v>
      </c>
    </row>
    <row r="8" spans="1:24" s="7" customFormat="1" x14ac:dyDescent="0.3">
      <c r="A8" s="7" t="s">
        <v>159</v>
      </c>
      <c r="B8" s="7">
        <f t="shared" ref="B8:L11" si="2">B7/10</f>
        <v>227272.7</v>
      </c>
      <c r="C8" s="7">
        <f t="shared" si="2"/>
        <v>0</v>
      </c>
      <c r="D8" s="7">
        <f t="shared" si="2"/>
        <v>0</v>
      </c>
      <c r="E8" s="7">
        <f t="shared" si="2"/>
        <v>3535</v>
      </c>
      <c r="F8" s="7">
        <f t="shared" si="2"/>
        <v>0</v>
      </c>
      <c r="G8" s="7">
        <f t="shared" si="2"/>
        <v>545.4545454545455</v>
      </c>
      <c r="H8" s="7">
        <f t="shared" si="2"/>
        <v>0</v>
      </c>
      <c r="I8" s="7">
        <f t="shared" si="2"/>
        <v>0</v>
      </c>
      <c r="J8" s="7">
        <f t="shared" si="2"/>
        <v>0</v>
      </c>
      <c r="K8" s="7">
        <f t="shared" si="2"/>
        <v>0</v>
      </c>
      <c r="L8" s="7">
        <f t="shared" si="2"/>
        <v>0</v>
      </c>
      <c r="M8" s="7">
        <f t="shared" ref="M8:X11" si="3">M7/10</f>
        <v>20473760.989520222</v>
      </c>
      <c r="N8" s="7">
        <f t="shared" si="3"/>
        <v>5461.9885304896052</v>
      </c>
      <c r="O8" s="7">
        <f t="shared" si="3"/>
        <v>0</v>
      </c>
      <c r="P8" s="7">
        <f t="shared" si="3"/>
        <v>0</v>
      </c>
      <c r="Q8" s="7">
        <f t="shared" si="3"/>
        <v>1170000</v>
      </c>
      <c r="R8" s="7">
        <f t="shared" si="3"/>
        <v>0</v>
      </c>
      <c r="S8" s="7">
        <v>0</v>
      </c>
      <c r="T8" s="7">
        <v>0</v>
      </c>
      <c r="U8" s="7">
        <f t="shared" si="3"/>
        <v>0</v>
      </c>
      <c r="V8" s="7">
        <v>0</v>
      </c>
      <c r="W8" s="7">
        <f t="shared" si="3"/>
        <v>0</v>
      </c>
      <c r="X8" s="7">
        <f t="shared" si="3"/>
        <v>22960</v>
      </c>
    </row>
    <row r="9" spans="1:24" s="7" customFormat="1" x14ac:dyDescent="0.3">
      <c r="A9" s="7" t="s">
        <v>160</v>
      </c>
      <c r="B9" s="7">
        <f t="shared" si="2"/>
        <v>22727.27</v>
      </c>
      <c r="C9" s="7">
        <f t="shared" si="2"/>
        <v>0</v>
      </c>
      <c r="D9" s="7">
        <f t="shared" si="2"/>
        <v>0</v>
      </c>
      <c r="E9" s="7">
        <f t="shared" si="2"/>
        <v>353.5</v>
      </c>
      <c r="F9" s="7">
        <f t="shared" si="2"/>
        <v>0</v>
      </c>
      <c r="G9" s="7">
        <f t="shared" si="2"/>
        <v>54.545454545454547</v>
      </c>
      <c r="H9" s="7">
        <f t="shared" si="2"/>
        <v>0</v>
      </c>
      <c r="I9" s="7">
        <f t="shared" si="2"/>
        <v>0</v>
      </c>
      <c r="J9" s="7">
        <f t="shared" si="2"/>
        <v>0</v>
      </c>
      <c r="K9" s="7">
        <f t="shared" si="2"/>
        <v>0</v>
      </c>
      <c r="L9" s="7">
        <f t="shared" si="2"/>
        <v>0</v>
      </c>
      <c r="M9" s="7">
        <f t="shared" si="3"/>
        <v>2047376.0989520221</v>
      </c>
      <c r="N9" s="7">
        <f t="shared" si="3"/>
        <v>546.19885304896047</v>
      </c>
      <c r="O9" s="7">
        <f t="shared" si="3"/>
        <v>0</v>
      </c>
      <c r="P9" s="7">
        <f t="shared" si="3"/>
        <v>0</v>
      </c>
      <c r="Q9" s="7">
        <f t="shared" si="3"/>
        <v>117000</v>
      </c>
      <c r="R9" s="7">
        <f t="shared" si="3"/>
        <v>0</v>
      </c>
      <c r="S9" s="7">
        <f t="shared" si="3"/>
        <v>0</v>
      </c>
      <c r="T9" s="7">
        <f t="shared" si="3"/>
        <v>0</v>
      </c>
      <c r="U9" s="7">
        <f t="shared" si="3"/>
        <v>0</v>
      </c>
      <c r="V9" s="7">
        <f t="shared" si="3"/>
        <v>0</v>
      </c>
      <c r="W9" s="7">
        <f t="shared" si="3"/>
        <v>0</v>
      </c>
      <c r="X9" s="7">
        <f t="shared" si="3"/>
        <v>2296</v>
      </c>
    </row>
    <row r="10" spans="1:24" s="7" customFormat="1" x14ac:dyDescent="0.3">
      <c r="A10" s="7" t="s">
        <v>161</v>
      </c>
      <c r="B10" s="7">
        <f t="shared" si="2"/>
        <v>2272.7269999999999</v>
      </c>
      <c r="C10" s="7">
        <f t="shared" si="2"/>
        <v>0</v>
      </c>
      <c r="D10" s="7">
        <f t="shared" si="2"/>
        <v>0</v>
      </c>
      <c r="E10" s="7">
        <f t="shared" si="2"/>
        <v>35.35</v>
      </c>
      <c r="F10" s="7">
        <f t="shared" si="2"/>
        <v>0</v>
      </c>
      <c r="G10" s="7">
        <v>0</v>
      </c>
      <c r="H10" s="7">
        <f t="shared" si="2"/>
        <v>0</v>
      </c>
      <c r="I10" s="7">
        <f t="shared" si="2"/>
        <v>0</v>
      </c>
      <c r="J10" s="7">
        <f t="shared" si="2"/>
        <v>0</v>
      </c>
      <c r="K10" s="7">
        <f t="shared" si="2"/>
        <v>0</v>
      </c>
      <c r="L10" s="7">
        <f t="shared" si="2"/>
        <v>0</v>
      </c>
      <c r="M10" s="7">
        <f t="shared" si="3"/>
        <v>204737.60989520221</v>
      </c>
      <c r="N10" s="7">
        <v>0</v>
      </c>
      <c r="O10" s="7">
        <f t="shared" si="3"/>
        <v>0</v>
      </c>
      <c r="P10" s="7">
        <f t="shared" si="3"/>
        <v>0</v>
      </c>
      <c r="Q10" s="7">
        <v>0</v>
      </c>
      <c r="R10" s="7">
        <f t="shared" si="3"/>
        <v>0</v>
      </c>
      <c r="S10" s="7">
        <f t="shared" si="3"/>
        <v>0</v>
      </c>
      <c r="T10" s="7">
        <f t="shared" si="3"/>
        <v>0</v>
      </c>
      <c r="U10" s="7">
        <f t="shared" si="3"/>
        <v>0</v>
      </c>
      <c r="V10" s="7">
        <f t="shared" si="3"/>
        <v>0</v>
      </c>
      <c r="W10" s="7">
        <f t="shared" si="3"/>
        <v>0</v>
      </c>
      <c r="X10" s="7">
        <v>0</v>
      </c>
    </row>
    <row r="11" spans="1:24" s="7" customFormat="1" x14ac:dyDescent="0.3">
      <c r="A11" s="7" t="s">
        <v>162</v>
      </c>
      <c r="B11" s="7">
        <f t="shared" si="2"/>
        <v>227.27269999999999</v>
      </c>
      <c r="C11" s="7">
        <f t="shared" si="2"/>
        <v>0</v>
      </c>
      <c r="D11" s="7">
        <f t="shared" si="2"/>
        <v>0</v>
      </c>
      <c r="E11" s="7">
        <v>0</v>
      </c>
      <c r="F11" s="7">
        <f t="shared" si="2"/>
        <v>0</v>
      </c>
      <c r="G11" s="7">
        <f t="shared" si="2"/>
        <v>0</v>
      </c>
      <c r="H11" s="7">
        <f t="shared" si="2"/>
        <v>0</v>
      </c>
      <c r="I11" s="7">
        <f t="shared" si="2"/>
        <v>0</v>
      </c>
      <c r="J11" s="7">
        <f t="shared" si="2"/>
        <v>0</v>
      </c>
      <c r="K11" s="7">
        <f t="shared" si="2"/>
        <v>0</v>
      </c>
      <c r="L11" s="7">
        <f t="shared" si="2"/>
        <v>0</v>
      </c>
      <c r="M11" s="7">
        <f t="shared" si="3"/>
        <v>20473.760989520222</v>
      </c>
      <c r="N11" s="7">
        <f t="shared" si="3"/>
        <v>0</v>
      </c>
      <c r="O11" s="7">
        <f t="shared" si="3"/>
        <v>0</v>
      </c>
      <c r="P11" s="7">
        <f t="shared" si="3"/>
        <v>0</v>
      </c>
      <c r="Q11" s="7">
        <f t="shared" si="3"/>
        <v>0</v>
      </c>
      <c r="R11" s="7">
        <f t="shared" si="3"/>
        <v>0</v>
      </c>
      <c r="S11" s="7">
        <f t="shared" si="3"/>
        <v>0</v>
      </c>
      <c r="T11" s="7">
        <f t="shared" si="3"/>
        <v>0</v>
      </c>
      <c r="U11" s="7">
        <f t="shared" si="3"/>
        <v>0</v>
      </c>
      <c r="V11" s="7">
        <f t="shared" si="3"/>
        <v>0</v>
      </c>
      <c r="W11" s="7">
        <f t="shared" si="3"/>
        <v>0</v>
      </c>
      <c r="X11" s="7">
        <f t="shared" si="3"/>
        <v>0</v>
      </c>
    </row>
    <row r="12" spans="1:24" s="7" customFormat="1" x14ac:dyDescent="0.3">
      <c r="A12" s="7" t="s">
        <v>51</v>
      </c>
      <c r="B12" s="7">
        <v>5454545</v>
      </c>
      <c r="C12" s="7">
        <v>0</v>
      </c>
      <c r="D12" s="7">
        <v>0</v>
      </c>
      <c r="E12" s="7">
        <v>0</v>
      </c>
      <c r="F12" s="7">
        <v>50</v>
      </c>
      <c r="G12" s="7">
        <v>23181.818181818184</v>
      </c>
      <c r="H12" s="7">
        <v>0</v>
      </c>
      <c r="I12" s="7">
        <v>0</v>
      </c>
      <c r="J12" s="7">
        <v>0</v>
      </c>
      <c r="K12" s="7">
        <v>20054967.382788099</v>
      </c>
      <c r="L12" s="7">
        <v>0</v>
      </c>
      <c r="M12" s="7">
        <v>0</v>
      </c>
      <c r="N12" s="7">
        <v>1850552.8531603306</v>
      </c>
      <c r="O12" s="7">
        <v>5280000</v>
      </c>
      <c r="P12" s="7">
        <v>0</v>
      </c>
      <c r="Q12" s="7">
        <v>0</v>
      </c>
      <c r="R12" s="7">
        <v>346000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s="7" customFormat="1" x14ac:dyDescent="0.3">
      <c r="A13" s="7" t="s">
        <v>163</v>
      </c>
      <c r="B13" s="7">
        <f t="shared" ref="B13:L16" si="4">B12/10</f>
        <v>545454.5</v>
      </c>
      <c r="C13" s="7">
        <f t="shared" si="4"/>
        <v>0</v>
      </c>
      <c r="D13" s="7">
        <f t="shared" si="4"/>
        <v>0</v>
      </c>
      <c r="E13" s="7">
        <f t="shared" si="4"/>
        <v>0</v>
      </c>
      <c r="F13" s="7">
        <f t="shared" si="4"/>
        <v>5</v>
      </c>
      <c r="G13" s="7">
        <f t="shared" si="4"/>
        <v>2318.1818181818185</v>
      </c>
      <c r="H13" s="7">
        <f t="shared" si="4"/>
        <v>0</v>
      </c>
      <c r="I13" s="7">
        <f t="shared" si="4"/>
        <v>0</v>
      </c>
      <c r="J13" s="7">
        <f t="shared" si="4"/>
        <v>0</v>
      </c>
      <c r="K13" s="7">
        <f t="shared" si="4"/>
        <v>2005496.7382788099</v>
      </c>
      <c r="L13" s="7">
        <f t="shared" si="4"/>
        <v>0</v>
      </c>
      <c r="M13" s="7">
        <f t="shared" ref="M13:X16" si="5">M12/10</f>
        <v>0</v>
      </c>
      <c r="N13" s="7">
        <f t="shared" si="5"/>
        <v>185055.28531603306</v>
      </c>
      <c r="O13" s="7">
        <f t="shared" si="5"/>
        <v>528000</v>
      </c>
      <c r="P13" s="7">
        <f t="shared" si="5"/>
        <v>0</v>
      </c>
      <c r="Q13" s="7">
        <f t="shared" si="5"/>
        <v>0</v>
      </c>
      <c r="R13" s="7">
        <f t="shared" si="5"/>
        <v>34600</v>
      </c>
      <c r="S13" s="7">
        <f t="shared" si="5"/>
        <v>0</v>
      </c>
      <c r="T13" s="7">
        <f t="shared" si="5"/>
        <v>0</v>
      </c>
      <c r="U13" s="7">
        <f t="shared" si="5"/>
        <v>0</v>
      </c>
      <c r="V13" s="7">
        <f t="shared" si="5"/>
        <v>0</v>
      </c>
      <c r="W13" s="7">
        <f t="shared" si="5"/>
        <v>0</v>
      </c>
      <c r="X13" s="7">
        <f t="shared" si="5"/>
        <v>0</v>
      </c>
    </row>
    <row r="14" spans="1:24" s="7" customFormat="1" x14ac:dyDescent="0.3">
      <c r="A14" s="7" t="s">
        <v>164</v>
      </c>
      <c r="B14" s="7">
        <f t="shared" si="4"/>
        <v>54545.45</v>
      </c>
      <c r="C14" s="7">
        <f t="shared" si="4"/>
        <v>0</v>
      </c>
      <c r="D14" s="7">
        <f t="shared" si="4"/>
        <v>0</v>
      </c>
      <c r="E14" s="7">
        <f t="shared" si="4"/>
        <v>0</v>
      </c>
      <c r="F14" s="7">
        <v>0</v>
      </c>
      <c r="G14" s="7">
        <f t="shared" si="4"/>
        <v>231.81818181818184</v>
      </c>
      <c r="H14" s="7">
        <f t="shared" si="4"/>
        <v>0</v>
      </c>
      <c r="I14" s="7">
        <f t="shared" si="4"/>
        <v>0</v>
      </c>
      <c r="J14" s="7">
        <f t="shared" si="4"/>
        <v>0</v>
      </c>
      <c r="K14" s="7">
        <f t="shared" si="4"/>
        <v>200549.67382788099</v>
      </c>
      <c r="L14" s="7">
        <f t="shared" si="4"/>
        <v>0</v>
      </c>
      <c r="M14" s="7">
        <f t="shared" si="5"/>
        <v>0</v>
      </c>
      <c r="N14" s="7">
        <f t="shared" si="5"/>
        <v>18505.528531603304</v>
      </c>
      <c r="O14" s="7">
        <f t="shared" si="5"/>
        <v>52800</v>
      </c>
      <c r="P14" s="7">
        <f t="shared" si="5"/>
        <v>0</v>
      </c>
      <c r="Q14" s="7">
        <f t="shared" si="5"/>
        <v>0</v>
      </c>
      <c r="R14" s="7">
        <v>0</v>
      </c>
      <c r="S14" s="7">
        <f t="shared" si="5"/>
        <v>0</v>
      </c>
      <c r="T14" s="7">
        <f t="shared" si="5"/>
        <v>0</v>
      </c>
      <c r="U14" s="7">
        <f t="shared" si="5"/>
        <v>0</v>
      </c>
      <c r="V14" s="7">
        <f t="shared" si="5"/>
        <v>0</v>
      </c>
      <c r="W14" s="7">
        <f t="shared" si="5"/>
        <v>0</v>
      </c>
      <c r="X14" s="7">
        <f t="shared" si="5"/>
        <v>0</v>
      </c>
    </row>
    <row r="15" spans="1:24" s="7" customFormat="1" x14ac:dyDescent="0.3">
      <c r="A15" s="7" t="s">
        <v>165</v>
      </c>
      <c r="B15" s="7">
        <f t="shared" si="4"/>
        <v>5454.5450000000001</v>
      </c>
      <c r="C15" s="7">
        <f t="shared" si="4"/>
        <v>0</v>
      </c>
      <c r="D15" s="7">
        <f t="shared" si="4"/>
        <v>0</v>
      </c>
      <c r="E15" s="7">
        <f t="shared" si="4"/>
        <v>0</v>
      </c>
      <c r="F15" s="7">
        <f t="shared" si="4"/>
        <v>0</v>
      </c>
      <c r="G15" s="7"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v>0</v>
      </c>
      <c r="L15" s="7">
        <f t="shared" si="4"/>
        <v>0</v>
      </c>
      <c r="M15" s="7">
        <f t="shared" si="5"/>
        <v>0</v>
      </c>
      <c r="N15" s="7">
        <f t="shared" si="5"/>
        <v>1850.5528531603304</v>
      </c>
      <c r="O15" s="7">
        <v>0</v>
      </c>
      <c r="P15" s="7">
        <f t="shared" si="5"/>
        <v>0</v>
      </c>
      <c r="Q15" s="7">
        <f t="shared" si="5"/>
        <v>0</v>
      </c>
      <c r="R15" s="7">
        <v>0</v>
      </c>
      <c r="S15" s="7">
        <f t="shared" si="5"/>
        <v>0</v>
      </c>
      <c r="T15" s="7">
        <f t="shared" si="5"/>
        <v>0</v>
      </c>
      <c r="U15" s="7">
        <f t="shared" si="5"/>
        <v>0</v>
      </c>
      <c r="V15" s="7">
        <f t="shared" si="5"/>
        <v>0</v>
      </c>
      <c r="W15" s="7">
        <f t="shared" si="5"/>
        <v>0</v>
      </c>
      <c r="X15" s="7">
        <f t="shared" si="5"/>
        <v>0</v>
      </c>
    </row>
    <row r="16" spans="1:24" s="7" customFormat="1" x14ac:dyDescent="0.3">
      <c r="A16" s="7" t="s">
        <v>166</v>
      </c>
      <c r="B16" s="7">
        <f t="shared" si="4"/>
        <v>545.45450000000005</v>
      </c>
      <c r="C16" s="7">
        <f t="shared" si="4"/>
        <v>0</v>
      </c>
      <c r="D16" s="7">
        <f t="shared" si="4"/>
        <v>0</v>
      </c>
      <c r="E16" s="7">
        <f t="shared" si="4"/>
        <v>0</v>
      </c>
      <c r="F16" s="7">
        <f t="shared" si="4"/>
        <v>0</v>
      </c>
      <c r="G16" s="7">
        <f t="shared" si="4"/>
        <v>0</v>
      </c>
      <c r="H16" s="7">
        <f t="shared" si="4"/>
        <v>0</v>
      </c>
      <c r="I16" s="7">
        <f t="shared" si="4"/>
        <v>0</v>
      </c>
      <c r="J16" s="7">
        <f t="shared" si="4"/>
        <v>0</v>
      </c>
      <c r="K16" s="7">
        <f t="shared" si="4"/>
        <v>0</v>
      </c>
      <c r="L16" s="7">
        <f t="shared" si="4"/>
        <v>0</v>
      </c>
      <c r="M16" s="7">
        <f t="shared" si="5"/>
        <v>0</v>
      </c>
      <c r="N16" s="7">
        <v>0</v>
      </c>
      <c r="O16" s="7">
        <f t="shared" si="5"/>
        <v>0</v>
      </c>
      <c r="P16" s="7">
        <f t="shared" si="5"/>
        <v>0</v>
      </c>
      <c r="Q16" s="7">
        <f t="shared" si="5"/>
        <v>0</v>
      </c>
      <c r="R16" s="7">
        <f t="shared" si="5"/>
        <v>0</v>
      </c>
      <c r="S16" s="7">
        <f t="shared" si="5"/>
        <v>0</v>
      </c>
      <c r="T16" s="7">
        <f t="shared" si="5"/>
        <v>0</v>
      </c>
      <c r="U16" s="7">
        <f t="shared" si="5"/>
        <v>0</v>
      </c>
      <c r="V16" s="7">
        <f t="shared" si="5"/>
        <v>0</v>
      </c>
      <c r="W16" s="7">
        <f t="shared" si="5"/>
        <v>0</v>
      </c>
      <c r="X16" s="7">
        <f t="shared" si="5"/>
        <v>0</v>
      </c>
    </row>
    <row r="17" spans="1:24" s="7" customFormat="1" x14ac:dyDescent="0.3">
      <c r="A17" s="7" t="s">
        <v>61</v>
      </c>
      <c r="B17" s="7">
        <v>10</v>
      </c>
      <c r="C17" s="7">
        <v>0</v>
      </c>
      <c r="D17" s="7">
        <v>0</v>
      </c>
      <c r="E17" s="7">
        <v>0</v>
      </c>
      <c r="F17" s="7">
        <v>0</v>
      </c>
      <c r="G17" s="7">
        <v>409</v>
      </c>
      <c r="H17" s="7">
        <v>0</v>
      </c>
      <c r="I17" s="7">
        <v>26800000</v>
      </c>
      <c r="J17" s="7">
        <v>0</v>
      </c>
      <c r="K17" s="7">
        <v>0</v>
      </c>
      <c r="L17" s="7">
        <v>0</v>
      </c>
      <c r="M17" s="7">
        <v>6809556436.8751297</v>
      </c>
      <c r="N17" s="7">
        <v>0</v>
      </c>
      <c r="O17" s="7">
        <v>0</v>
      </c>
      <c r="P17" s="7">
        <v>0</v>
      </c>
      <c r="Q17" s="7">
        <v>10500000</v>
      </c>
      <c r="R17" s="7">
        <v>0</v>
      </c>
      <c r="S17" s="7">
        <v>290</v>
      </c>
      <c r="T17" s="7">
        <v>990</v>
      </c>
      <c r="U17" s="7">
        <v>0</v>
      </c>
      <c r="V17" s="7">
        <v>410</v>
      </c>
      <c r="W17" s="7">
        <v>0</v>
      </c>
      <c r="X17" s="7">
        <v>0</v>
      </c>
    </row>
    <row r="18" spans="1:24" s="7" customFormat="1" x14ac:dyDescent="0.3">
      <c r="A18" s="7" t="s">
        <v>167</v>
      </c>
      <c r="B18" s="7">
        <v>0</v>
      </c>
      <c r="C18" s="7">
        <f t="shared" ref="B18:L21" si="6">C17/10</f>
        <v>0</v>
      </c>
      <c r="D18" s="7">
        <f t="shared" si="6"/>
        <v>0</v>
      </c>
      <c r="E18" s="7">
        <f t="shared" si="6"/>
        <v>0</v>
      </c>
      <c r="F18" s="7">
        <f t="shared" si="6"/>
        <v>0</v>
      </c>
      <c r="G18" s="7">
        <v>0</v>
      </c>
      <c r="H18" s="7">
        <f t="shared" si="6"/>
        <v>0</v>
      </c>
      <c r="I18" s="7">
        <f t="shared" si="6"/>
        <v>2680000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ref="M18:X21" si="7">M17/10</f>
        <v>680955643.68751299</v>
      </c>
      <c r="N18" s="7">
        <f t="shared" si="7"/>
        <v>0</v>
      </c>
      <c r="O18" s="7">
        <f t="shared" si="7"/>
        <v>0</v>
      </c>
      <c r="P18" s="7">
        <f t="shared" si="7"/>
        <v>0</v>
      </c>
      <c r="Q18" s="7">
        <f t="shared" si="7"/>
        <v>1050000</v>
      </c>
      <c r="R18" s="7">
        <f t="shared" si="7"/>
        <v>0</v>
      </c>
      <c r="S18" s="7">
        <v>0</v>
      </c>
      <c r="T18" s="7">
        <f t="shared" si="7"/>
        <v>99</v>
      </c>
      <c r="U18" s="7">
        <f t="shared" si="7"/>
        <v>0</v>
      </c>
      <c r="V18" s="7">
        <v>0</v>
      </c>
      <c r="W18" s="7">
        <f t="shared" si="7"/>
        <v>0</v>
      </c>
      <c r="X18" s="7">
        <f t="shared" si="7"/>
        <v>0</v>
      </c>
    </row>
    <row r="19" spans="1:24" s="7" customFormat="1" x14ac:dyDescent="0.3">
      <c r="A19" s="7" t="s">
        <v>168</v>
      </c>
      <c r="B19" s="7">
        <f t="shared" si="6"/>
        <v>0</v>
      </c>
      <c r="C19" s="7">
        <f t="shared" si="6"/>
        <v>0</v>
      </c>
      <c r="D19" s="7">
        <f t="shared" si="6"/>
        <v>0</v>
      </c>
      <c r="E19" s="7">
        <f t="shared" si="6"/>
        <v>0</v>
      </c>
      <c r="F19" s="7">
        <f t="shared" si="6"/>
        <v>0</v>
      </c>
      <c r="G19" s="7">
        <f t="shared" si="6"/>
        <v>0</v>
      </c>
      <c r="H19" s="7">
        <f t="shared" si="6"/>
        <v>0</v>
      </c>
      <c r="I19" s="7">
        <f t="shared" si="6"/>
        <v>268000</v>
      </c>
      <c r="J19" s="7">
        <f t="shared" si="6"/>
        <v>0</v>
      </c>
      <c r="K19" s="7">
        <f t="shared" si="6"/>
        <v>0</v>
      </c>
      <c r="L19" s="7">
        <f t="shared" si="6"/>
        <v>0</v>
      </c>
      <c r="M19" s="7">
        <f t="shared" si="7"/>
        <v>68095564.368751302</v>
      </c>
      <c r="N19" s="7">
        <f t="shared" si="7"/>
        <v>0</v>
      </c>
      <c r="O19" s="7">
        <f t="shared" si="7"/>
        <v>0</v>
      </c>
      <c r="P19" s="7">
        <f t="shared" si="7"/>
        <v>0</v>
      </c>
      <c r="Q19" s="7">
        <f t="shared" si="7"/>
        <v>105000</v>
      </c>
      <c r="R19" s="7">
        <f t="shared" si="7"/>
        <v>0</v>
      </c>
      <c r="S19" s="7">
        <f t="shared" si="7"/>
        <v>0</v>
      </c>
      <c r="T19" s="7">
        <v>0</v>
      </c>
      <c r="U19" s="7">
        <f t="shared" si="7"/>
        <v>0</v>
      </c>
      <c r="V19" s="7">
        <f t="shared" si="7"/>
        <v>0</v>
      </c>
      <c r="W19" s="7">
        <f t="shared" si="7"/>
        <v>0</v>
      </c>
      <c r="X19" s="7">
        <f t="shared" si="7"/>
        <v>0</v>
      </c>
    </row>
    <row r="20" spans="1:24" s="7" customFormat="1" x14ac:dyDescent="0.3">
      <c r="A20" s="7" t="s">
        <v>169</v>
      </c>
      <c r="B20" s="7">
        <f t="shared" si="6"/>
        <v>0</v>
      </c>
      <c r="C20" s="7">
        <f t="shared" si="6"/>
        <v>0</v>
      </c>
      <c r="D20" s="7">
        <f t="shared" si="6"/>
        <v>0</v>
      </c>
      <c r="E20" s="7">
        <f t="shared" si="6"/>
        <v>0</v>
      </c>
      <c r="F20" s="7">
        <f t="shared" si="6"/>
        <v>0</v>
      </c>
      <c r="G20" s="7">
        <f t="shared" si="6"/>
        <v>0</v>
      </c>
      <c r="H20" s="7">
        <f t="shared" si="6"/>
        <v>0</v>
      </c>
      <c r="I20" s="7">
        <v>0</v>
      </c>
      <c r="J20" s="7">
        <f t="shared" si="6"/>
        <v>0</v>
      </c>
      <c r="K20" s="7">
        <f t="shared" si="6"/>
        <v>0</v>
      </c>
      <c r="L20" s="7">
        <f t="shared" si="6"/>
        <v>0</v>
      </c>
      <c r="M20" s="7">
        <f t="shared" si="7"/>
        <v>6809556.43687513</v>
      </c>
      <c r="N20" s="7">
        <f t="shared" si="7"/>
        <v>0</v>
      </c>
      <c r="O20" s="7">
        <f t="shared" si="7"/>
        <v>0</v>
      </c>
      <c r="P20" s="7">
        <f t="shared" si="7"/>
        <v>0</v>
      </c>
      <c r="Q20" s="7">
        <v>0</v>
      </c>
      <c r="R20" s="7">
        <f t="shared" si="7"/>
        <v>0</v>
      </c>
      <c r="S20" s="7">
        <f t="shared" si="7"/>
        <v>0</v>
      </c>
      <c r="T20" s="7">
        <f t="shared" si="7"/>
        <v>0</v>
      </c>
      <c r="U20" s="7">
        <f t="shared" si="7"/>
        <v>0</v>
      </c>
      <c r="V20" s="7">
        <f t="shared" si="7"/>
        <v>0</v>
      </c>
      <c r="W20" s="7">
        <f t="shared" si="7"/>
        <v>0</v>
      </c>
      <c r="X20" s="7">
        <f t="shared" si="7"/>
        <v>0</v>
      </c>
    </row>
    <row r="21" spans="1:24" s="7" customFormat="1" x14ac:dyDescent="0.3">
      <c r="A21" s="7" t="s">
        <v>170</v>
      </c>
      <c r="B21" s="7">
        <f t="shared" si="6"/>
        <v>0</v>
      </c>
      <c r="C21" s="7">
        <f t="shared" si="6"/>
        <v>0</v>
      </c>
      <c r="D21" s="7">
        <f t="shared" si="6"/>
        <v>0</v>
      </c>
      <c r="E21" s="7">
        <f t="shared" si="6"/>
        <v>0</v>
      </c>
      <c r="F21" s="7">
        <f t="shared" si="6"/>
        <v>0</v>
      </c>
      <c r="G21" s="7">
        <f t="shared" si="6"/>
        <v>0</v>
      </c>
      <c r="H21" s="7">
        <f t="shared" si="6"/>
        <v>0</v>
      </c>
      <c r="I21" s="7">
        <f t="shared" si="6"/>
        <v>0</v>
      </c>
      <c r="J21" s="7">
        <f t="shared" si="6"/>
        <v>0</v>
      </c>
      <c r="K21" s="7">
        <f t="shared" si="6"/>
        <v>0</v>
      </c>
      <c r="L21" s="7">
        <f t="shared" si="6"/>
        <v>0</v>
      </c>
      <c r="M21" s="7">
        <f t="shared" si="7"/>
        <v>680955.64368751296</v>
      </c>
      <c r="N21" s="7">
        <f t="shared" si="7"/>
        <v>0</v>
      </c>
      <c r="O21" s="7">
        <f t="shared" si="7"/>
        <v>0</v>
      </c>
      <c r="P21" s="7">
        <f t="shared" si="7"/>
        <v>0</v>
      </c>
      <c r="Q21" s="7">
        <f t="shared" si="7"/>
        <v>0</v>
      </c>
      <c r="R21" s="7">
        <f t="shared" si="7"/>
        <v>0</v>
      </c>
      <c r="S21" s="7">
        <f t="shared" si="7"/>
        <v>0</v>
      </c>
      <c r="T21" s="7">
        <f t="shared" si="7"/>
        <v>0</v>
      </c>
      <c r="U21" s="7">
        <f t="shared" si="7"/>
        <v>0</v>
      </c>
      <c r="V21" s="7">
        <f t="shared" si="7"/>
        <v>0</v>
      </c>
      <c r="W21" s="7">
        <f t="shared" si="7"/>
        <v>0</v>
      </c>
      <c r="X21" s="7">
        <f t="shared" si="7"/>
        <v>0</v>
      </c>
    </row>
    <row r="22" spans="1:24" s="7" customFormat="1" x14ac:dyDescent="0.3">
      <c r="A22" s="7" t="s">
        <v>64</v>
      </c>
      <c r="B22" s="7">
        <v>243000</v>
      </c>
      <c r="C22" s="7">
        <v>33.333333333333336</v>
      </c>
      <c r="D22" s="7">
        <v>0</v>
      </c>
      <c r="E22" s="7">
        <v>0</v>
      </c>
      <c r="F22" s="7">
        <v>200</v>
      </c>
      <c r="G22" s="7">
        <v>5320000</v>
      </c>
      <c r="H22" s="7">
        <v>27350000</v>
      </c>
      <c r="I22" s="7">
        <v>0</v>
      </c>
      <c r="J22" s="7">
        <v>0</v>
      </c>
      <c r="K22" s="7">
        <v>0</v>
      </c>
      <c r="L22" s="7">
        <v>0</v>
      </c>
      <c r="M22" s="7">
        <v>9936.7600353435118</v>
      </c>
      <c r="N22" s="7">
        <v>60211532.380249135</v>
      </c>
      <c r="O22" s="7">
        <v>534000</v>
      </c>
      <c r="P22" s="7">
        <v>0</v>
      </c>
      <c r="Q22" s="7">
        <v>0</v>
      </c>
      <c r="R22" s="7">
        <v>48800</v>
      </c>
      <c r="S22" s="7">
        <v>0</v>
      </c>
      <c r="T22" s="7">
        <v>0</v>
      </c>
      <c r="U22" s="7">
        <v>0</v>
      </c>
      <c r="V22" s="7">
        <v>0</v>
      </c>
      <c r="W22" s="7">
        <v>45400</v>
      </c>
      <c r="X22" s="7">
        <v>232400</v>
      </c>
    </row>
    <row r="23" spans="1:24" s="7" customFormat="1" x14ac:dyDescent="0.3">
      <c r="A23" s="7" t="s">
        <v>171</v>
      </c>
      <c r="B23" s="7">
        <f t="shared" ref="B23:L26" si="8">B22/10</f>
        <v>24300</v>
      </c>
      <c r="C23" s="7">
        <v>0</v>
      </c>
      <c r="D23" s="7">
        <f t="shared" si="8"/>
        <v>0</v>
      </c>
      <c r="E23" s="7">
        <f t="shared" si="8"/>
        <v>0</v>
      </c>
      <c r="F23" s="7">
        <f t="shared" si="8"/>
        <v>20</v>
      </c>
      <c r="G23" s="7">
        <f t="shared" si="8"/>
        <v>532000</v>
      </c>
      <c r="H23" s="7">
        <f t="shared" si="8"/>
        <v>2735000</v>
      </c>
      <c r="I23" s="7">
        <f t="shared" si="8"/>
        <v>0</v>
      </c>
      <c r="J23" s="7">
        <f t="shared" si="8"/>
        <v>0</v>
      </c>
      <c r="K23" s="7">
        <f t="shared" si="8"/>
        <v>0</v>
      </c>
      <c r="L23" s="7">
        <f t="shared" si="8"/>
        <v>0</v>
      </c>
      <c r="M23" s="7">
        <f t="shared" ref="M23:X24" si="9">M22/10</f>
        <v>993.67600353435114</v>
      </c>
      <c r="N23" s="7">
        <f t="shared" si="9"/>
        <v>6021153.2380249137</v>
      </c>
      <c r="O23" s="7">
        <f t="shared" si="9"/>
        <v>53400</v>
      </c>
      <c r="P23" s="7">
        <f t="shared" si="9"/>
        <v>0</v>
      </c>
      <c r="Q23" s="7">
        <f t="shared" si="9"/>
        <v>0</v>
      </c>
      <c r="R23" s="7">
        <v>0</v>
      </c>
      <c r="S23" s="7">
        <f t="shared" si="9"/>
        <v>0</v>
      </c>
      <c r="T23" s="7">
        <f t="shared" si="9"/>
        <v>0</v>
      </c>
      <c r="U23" s="7">
        <f t="shared" si="9"/>
        <v>0</v>
      </c>
      <c r="V23" s="7">
        <f t="shared" si="9"/>
        <v>0</v>
      </c>
      <c r="W23" s="7">
        <v>0</v>
      </c>
      <c r="X23" s="7">
        <f t="shared" si="9"/>
        <v>23240</v>
      </c>
    </row>
    <row r="24" spans="1:24" s="7" customFormat="1" x14ac:dyDescent="0.3">
      <c r="A24" s="7" t="s">
        <v>172</v>
      </c>
      <c r="B24" s="7">
        <f t="shared" si="8"/>
        <v>2430</v>
      </c>
      <c r="C24" s="7">
        <v>0</v>
      </c>
      <c r="D24" s="7">
        <f t="shared" si="8"/>
        <v>0</v>
      </c>
      <c r="E24" s="7">
        <f t="shared" si="8"/>
        <v>0</v>
      </c>
      <c r="F24" s="7">
        <v>0</v>
      </c>
      <c r="G24" s="7">
        <f t="shared" si="8"/>
        <v>53200</v>
      </c>
      <c r="H24" s="7">
        <f t="shared" si="8"/>
        <v>273500</v>
      </c>
      <c r="I24" s="7">
        <f t="shared" si="8"/>
        <v>0</v>
      </c>
      <c r="J24" s="7">
        <f t="shared" si="8"/>
        <v>0</v>
      </c>
      <c r="K24" s="7">
        <f t="shared" si="8"/>
        <v>0</v>
      </c>
      <c r="L24" s="7">
        <f t="shared" si="8"/>
        <v>0</v>
      </c>
      <c r="M24" s="7">
        <v>0</v>
      </c>
      <c r="N24" s="7">
        <f t="shared" si="9"/>
        <v>602115.32380249142</v>
      </c>
      <c r="O24" s="7">
        <v>0</v>
      </c>
      <c r="P24" s="7">
        <f t="shared" si="9"/>
        <v>0</v>
      </c>
      <c r="Q24" s="7">
        <f t="shared" si="9"/>
        <v>0</v>
      </c>
      <c r="R24" s="7">
        <f t="shared" si="9"/>
        <v>0</v>
      </c>
      <c r="S24" s="7">
        <f t="shared" si="9"/>
        <v>0</v>
      </c>
      <c r="T24" s="7">
        <f t="shared" si="9"/>
        <v>0</v>
      </c>
      <c r="U24" s="7">
        <f t="shared" si="9"/>
        <v>0</v>
      </c>
      <c r="V24" s="7">
        <f t="shared" si="9"/>
        <v>0</v>
      </c>
      <c r="W24" s="7">
        <f t="shared" si="9"/>
        <v>0</v>
      </c>
      <c r="X24" s="7">
        <f t="shared" si="9"/>
        <v>2324</v>
      </c>
    </row>
    <row r="25" spans="1:24" s="7" customFormat="1" x14ac:dyDescent="0.3">
      <c r="A25" s="7" t="s">
        <v>173</v>
      </c>
      <c r="B25" s="7">
        <f t="shared" si="8"/>
        <v>243</v>
      </c>
      <c r="C25" s="7">
        <f t="shared" si="8"/>
        <v>0</v>
      </c>
      <c r="D25" s="7">
        <f t="shared" si="8"/>
        <v>0</v>
      </c>
      <c r="E25" s="7">
        <f t="shared" si="8"/>
        <v>0</v>
      </c>
      <c r="F25" s="7">
        <f t="shared" si="8"/>
        <v>0</v>
      </c>
      <c r="G25" s="7">
        <f t="shared" si="8"/>
        <v>5320</v>
      </c>
      <c r="H25" s="7">
        <v>0</v>
      </c>
      <c r="I25" s="7">
        <f t="shared" si="8"/>
        <v>0</v>
      </c>
      <c r="J25" s="7">
        <f t="shared" si="8"/>
        <v>0</v>
      </c>
      <c r="K25" s="7">
        <f t="shared" si="8"/>
        <v>0</v>
      </c>
      <c r="L25" s="7">
        <f t="shared" si="8"/>
        <v>0</v>
      </c>
      <c r="M25" s="7">
        <f t="shared" ref="M25:X26" si="10">M24/10</f>
        <v>0</v>
      </c>
      <c r="N25" s="7">
        <f t="shared" si="10"/>
        <v>60211.53238024914</v>
      </c>
      <c r="O25" s="7">
        <f t="shared" si="10"/>
        <v>0</v>
      </c>
      <c r="P25" s="7">
        <f t="shared" si="10"/>
        <v>0</v>
      </c>
      <c r="Q25" s="7">
        <f t="shared" si="10"/>
        <v>0</v>
      </c>
      <c r="R25" s="7">
        <f t="shared" si="10"/>
        <v>0</v>
      </c>
      <c r="S25" s="7">
        <f t="shared" si="10"/>
        <v>0</v>
      </c>
      <c r="T25" s="7">
        <f t="shared" si="10"/>
        <v>0</v>
      </c>
      <c r="U25" s="7">
        <f t="shared" si="10"/>
        <v>0</v>
      </c>
      <c r="V25" s="7">
        <f t="shared" si="10"/>
        <v>0</v>
      </c>
      <c r="W25" s="7">
        <f t="shared" si="10"/>
        <v>0</v>
      </c>
      <c r="X25" s="7">
        <v>0</v>
      </c>
    </row>
    <row r="26" spans="1:24" s="7" customFormat="1" x14ac:dyDescent="0.3">
      <c r="A26" s="7" t="s">
        <v>174</v>
      </c>
      <c r="B26" s="7">
        <f t="shared" si="8"/>
        <v>24.3</v>
      </c>
      <c r="C26" s="7">
        <f t="shared" si="8"/>
        <v>0</v>
      </c>
      <c r="D26" s="7">
        <f t="shared" si="8"/>
        <v>0</v>
      </c>
      <c r="E26" s="7">
        <f t="shared" si="8"/>
        <v>0</v>
      </c>
      <c r="F26" s="7">
        <f t="shared" si="8"/>
        <v>0</v>
      </c>
      <c r="G26" s="7">
        <f t="shared" si="8"/>
        <v>532</v>
      </c>
      <c r="H26" s="7">
        <f t="shared" si="8"/>
        <v>0</v>
      </c>
      <c r="I26" s="7">
        <f t="shared" si="8"/>
        <v>0</v>
      </c>
      <c r="J26" s="7">
        <f t="shared" si="8"/>
        <v>0</v>
      </c>
      <c r="K26" s="7">
        <f t="shared" si="8"/>
        <v>0</v>
      </c>
      <c r="L26" s="7">
        <f t="shared" si="8"/>
        <v>0</v>
      </c>
      <c r="M26" s="7">
        <f t="shared" si="10"/>
        <v>0</v>
      </c>
      <c r="N26" s="7">
        <f t="shared" si="10"/>
        <v>6021.1532380249137</v>
      </c>
      <c r="O26" s="7">
        <f t="shared" si="10"/>
        <v>0</v>
      </c>
      <c r="P26" s="7">
        <f t="shared" si="10"/>
        <v>0</v>
      </c>
      <c r="Q26" s="7">
        <f t="shared" si="10"/>
        <v>0</v>
      </c>
      <c r="R26" s="7">
        <f t="shared" si="10"/>
        <v>0</v>
      </c>
      <c r="S26" s="7">
        <f t="shared" si="10"/>
        <v>0</v>
      </c>
      <c r="T26" s="7">
        <f t="shared" si="10"/>
        <v>0</v>
      </c>
      <c r="U26" s="7">
        <f t="shared" si="10"/>
        <v>0</v>
      </c>
      <c r="V26" s="7">
        <f t="shared" si="10"/>
        <v>0</v>
      </c>
      <c r="W26" s="7">
        <f t="shared" si="10"/>
        <v>0</v>
      </c>
      <c r="X26" s="7">
        <f t="shared" si="10"/>
        <v>0</v>
      </c>
    </row>
    <row r="27" spans="1:24" s="7" customFormat="1" x14ac:dyDescent="0.3">
      <c r="A27" s="7" t="s">
        <v>195</v>
      </c>
      <c r="B27" s="7">
        <v>10</v>
      </c>
      <c r="C27" s="7">
        <v>0</v>
      </c>
      <c r="D27" s="7">
        <v>0</v>
      </c>
      <c r="E27" s="7">
        <v>0</v>
      </c>
      <c r="F27" s="7">
        <v>0</v>
      </c>
      <c r="G27" s="7">
        <v>500000</v>
      </c>
      <c r="H27" s="7">
        <v>12436808.8666503</v>
      </c>
      <c r="I27" s="7">
        <v>3067.3261700889102</v>
      </c>
      <c r="J27" s="7">
        <v>0</v>
      </c>
      <c r="K27" s="7">
        <v>0</v>
      </c>
      <c r="L27" s="7">
        <v>846024298.4018122</v>
      </c>
      <c r="M27" s="7">
        <v>0</v>
      </c>
      <c r="N27" s="7">
        <v>0</v>
      </c>
      <c r="O27" s="7">
        <v>0</v>
      </c>
      <c r="P27" s="7">
        <v>790000</v>
      </c>
      <c r="Q27" s="7">
        <v>17100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s="7" customFormat="1" x14ac:dyDescent="0.3">
      <c r="A28" s="7" t="s">
        <v>196</v>
      </c>
      <c r="B28" s="7">
        <f t="shared" ref="B28:L31" si="11">B27/10</f>
        <v>1</v>
      </c>
      <c r="C28" s="7">
        <f t="shared" si="11"/>
        <v>0</v>
      </c>
      <c r="D28" s="7">
        <f t="shared" si="11"/>
        <v>0</v>
      </c>
      <c r="E28" s="7">
        <f t="shared" si="11"/>
        <v>0</v>
      </c>
      <c r="F28" s="7">
        <f t="shared" si="11"/>
        <v>0</v>
      </c>
      <c r="G28" s="7">
        <f t="shared" si="11"/>
        <v>50000</v>
      </c>
      <c r="H28" s="7">
        <f t="shared" si="11"/>
        <v>1243680.8866650299</v>
      </c>
      <c r="I28" s="7">
        <v>0</v>
      </c>
      <c r="J28" s="7">
        <f t="shared" si="11"/>
        <v>0</v>
      </c>
      <c r="K28" s="7">
        <f t="shared" si="11"/>
        <v>0</v>
      </c>
      <c r="L28" s="7">
        <f t="shared" si="11"/>
        <v>84602429.840181217</v>
      </c>
      <c r="M28" s="7">
        <f t="shared" ref="M28:X31" si="12">M27/10</f>
        <v>0</v>
      </c>
      <c r="N28" s="7">
        <f t="shared" si="12"/>
        <v>0</v>
      </c>
      <c r="O28" s="7">
        <f t="shared" si="12"/>
        <v>0</v>
      </c>
      <c r="P28" s="7">
        <f t="shared" si="12"/>
        <v>79000</v>
      </c>
      <c r="Q28" s="7">
        <v>0</v>
      </c>
      <c r="R28" s="7">
        <f t="shared" si="12"/>
        <v>0</v>
      </c>
      <c r="S28" s="7">
        <f t="shared" si="12"/>
        <v>0</v>
      </c>
      <c r="T28" s="7">
        <f t="shared" si="12"/>
        <v>0</v>
      </c>
      <c r="U28" s="7">
        <f t="shared" si="12"/>
        <v>0</v>
      </c>
      <c r="V28" s="7">
        <f t="shared" si="12"/>
        <v>0</v>
      </c>
      <c r="W28" s="7">
        <f t="shared" si="12"/>
        <v>0</v>
      </c>
      <c r="X28" s="7">
        <f t="shared" si="12"/>
        <v>0</v>
      </c>
    </row>
    <row r="29" spans="1:24" s="7" customFormat="1" x14ac:dyDescent="0.3">
      <c r="A29" s="7" t="s">
        <v>197</v>
      </c>
      <c r="B29" s="7">
        <f t="shared" si="11"/>
        <v>0.1</v>
      </c>
      <c r="C29" s="7">
        <f t="shared" si="11"/>
        <v>0</v>
      </c>
      <c r="D29" s="7">
        <f t="shared" si="11"/>
        <v>0</v>
      </c>
      <c r="E29" s="7">
        <f t="shared" si="11"/>
        <v>0</v>
      </c>
      <c r="F29" s="7">
        <f t="shared" si="11"/>
        <v>0</v>
      </c>
      <c r="G29" s="7">
        <f t="shared" si="11"/>
        <v>5000</v>
      </c>
      <c r="H29" s="7">
        <f t="shared" si="11"/>
        <v>124368.088666503</v>
      </c>
      <c r="I29" s="7">
        <f t="shared" si="11"/>
        <v>0</v>
      </c>
      <c r="J29" s="7">
        <f t="shared" si="11"/>
        <v>0</v>
      </c>
      <c r="K29" s="7">
        <f t="shared" si="11"/>
        <v>0</v>
      </c>
      <c r="L29" s="7">
        <f t="shared" si="11"/>
        <v>8460242.9840181209</v>
      </c>
      <c r="M29" s="7">
        <f t="shared" si="12"/>
        <v>0</v>
      </c>
      <c r="N29" s="7">
        <f t="shared" si="12"/>
        <v>0</v>
      </c>
      <c r="O29" s="7">
        <f t="shared" si="12"/>
        <v>0</v>
      </c>
      <c r="P29" s="7">
        <v>0</v>
      </c>
      <c r="Q29" s="7">
        <f t="shared" si="12"/>
        <v>0</v>
      </c>
      <c r="R29" s="7">
        <f t="shared" si="12"/>
        <v>0</v>
      </c>
      <c r="S29" s="7">
        <f t="shared" si="12"/>
        <v>0</v>
      </c>
      <c r="T29" s="7">
        <f t="shared" si="12"/>
        <v>0</v>
      </c>
      <c r="U29" s="7">
        <f t="shared" si="12"/>
        <v>0</v>
      </c>
      <c r="V29" s="7">
        <f t="shared" si="12"/>
        <v>0</v>
      </c>
      <c r="W29" s="7">
        <f t="shared" si="12"/>
        <v>0</v>
      </c>
      <c r="X29" s="7">
        <f t="shared" si="12"/>
        <v>0</v>
      </c>
    </row>
    <row r="30" spans="1:24" s="7" customFormat="1" x14ac:dyDescent="0.3">
      <c r="A30" s="7" t="s">
        <v>198</v>
      </c>
      <c r="B30" s="7">
        <f t="shared" si="11"/>
        <v>0.01</v>
      </c>
      <c r="C30" s="7">
        <f t="shared" si="11"/>
        <v>0</v>
      </c>
      <c r="D30" s="7">
        <f t="shared" si="11"/>
        <v>0</v>
      </c>
      <c r="E30" s="7">
        <f t="shared" si="11"/>
        <v>0</v>
      </c>
      <c r="F30" s="7">
        <f t="shared" si="11"/>
        <v>0</v>
      </c>
      <c r="G30" s="7">
        <f t="shared" si="11"/>
        <v>500</v>
      </c>
      <c r="H30" s="7">
        <v>0</v>
      </c>
      <c r="I30" s="7">
        <f t="shared" si="11"/>
        <v>0</v>
      </c>
      <c r="J30" s="7">
        <f t="shared" si="11"/>
        <v>0</v>
      </c>
      <c r="K30" s="7">
        <f t="shared" si="11"/>
        <v>0</v>
      </c>
      <c r="L30" s="7">
        <f t="shared" si="11"/>
        <v>846024.29840181209</v>
      </c>
      <c r="M30" s="7">
        <f t="shared" si="12"/>
        <v>0</v>
      </c>
      <c r="N30" s="7">
        <f t="shared" si="12"/>
        <v>0</v>
      </c>
      <c r="O30" s="7">
        <f t="shared" si="12"/>
        <v>0</v>
      </c>
      <c r="P30" s="7">
        <f t="shared" si="12"/>
        <v>0</v>
      </c>
      <c r="Q30" s="7">
        <f t="shared" si="12"/>
        <v>0</v>
      </c>
      <c r="R30" s="7">
        <f t="shared" si="12"/>
        <v>0</v>
      </c>
      <c r="S30" s="7">
        <f t="shared" si="12"/>
        <v>0</v>
      </c>
      <c r="T30" s="7">
        <f t="shared" si="12"/>
        <v>0</v>
      </c>
      <c r="U30" s="7">
        <f t="shared" si="12"/>
        <v>0</v>
      </c>
      <c r="V30" s="7">
        <f t="shared" si="12"/>
        <v>0</v>
      </c>
      <c r="W30" s="7">
        <f t="shared" si="12"/>
        <v>0</v>
      </c>
      <c r="X30" s="7">
        <f t="shared" si="12"/>
        <v>0</v>
      </c>
    </row>
    <row r="31" spans="1:24" s="7" customFormat="1" x14ac:dyDescent="0.3">
      <c r="A31" s="7" t="s">
        <v>199</v>
      </c>
      <c r="B31" s="7">
        <f t="shared" si="11"/>
        <v>1E-3</v>
      </c>
      <c r="C31" s="7">
        <f t="shared" si="11"/>
        <v>0</v>
      </c>
      <c r="D31" s="7">
        <f t="shared" si="11"/>
        <v>0</v>
      </c>
      <c r="E31" s="7">
        <f t="shared" si="11"/>
        <v>0</v>
      </c>
      <c r="F31" s="7">
        <f t="shared" si="11"/>
        <v>0</v>
      </c>
      <c r="G31" s="7">
        <f t="shared" si="11"/>
        <v>50</v>
      </c>
      <c r="H31" s="7">
        <f t="shared" si="11"/>
        <v>0</v>
      </c>
      <c r="I31" s="7">
        <f t="shared" si="11"/>
        <v>0</v>
      </c>
      <c r="J31" s="7">
        <f t="shared" si="11"/>
        <v>0</v>
      </c>
      <c r="K31" s="7">
        <f t="shared" si="11"/>
        <v>0</v>
      </c>
      <c r="L31" s="7">
        <f t="shared" si="11"/>
        <v>84602.429840181212</v>
      </c>
      <c r="M31" s="7">
        <f t="shared" si="12"/>
        <v>0</v>
      </c>
      <c r="N31" s="7">
        <f t="shared" si="12"/>
        <v>0</v>
      </c>
      <c r="O31" s="7">
        <f t="shared" si="12"/>
        <v>0</v>
      </c>
      <c r="P31" s="7">
        <f t="shared" si="12"/>
        <v>0</v>
      </c>
      <c r="Q31" s="7">
        <f t="shared" si="12"/>
        <v>0</v>
      </c>
      <c r="R31" s="7">
        <f t="shared" si="12"/>
        <v>0</v>
      </c>
      <c r="S31" s="7">
        <f t="shared" si="12"/>
        <v>0</v>
      </c>
      <c r="T31" s="7">
        <f t="shared" si="12"/>
        <v>0</v>
      </c>
      <c r="U31" s="7">
        <f t="shared" si="12"/>
        <v>0</v>
      </c>
      <c r="V31" s="7">
        <f t="shared" si="12"/>
        <v>0</v>
      </c>
      <c r="W31" s="7">
        <f t="shared" si="12"/>
        <v>0</v>
      </c>
      <c r="X31" s="7">
        <f t="shared" si="12"/>
        <v>0</v>
      </c>
    </row>
    <row r="32" spans="1:24" s="7" customFormat="1" x14ac:dyDescent="0.3">
      <c r="A32" s="7" t="s">
        <v>200</v>
      </c>
      <c r="B32" s="7">
        <v>255000</v>
      </c>
      <c r="C32" s="7">
        <v>0</v>
      </c>
      <c r="D32" s="7">
        <v>0</v>
      </c>
      <c r="E32" s="7">
        <v>240</v>
      </c>
      <c r="F32" s="7">
        <v>0</v>
      </c>
      <c r="G32" s="7">
        <v>75000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197268982.33824801</v>
      </c>
      <c r="N32" s="7">
        <v>370.80668818132176</v>
      </c>
      <c r="O32" s="7">
        <v>19600</v>
      </c>
      <c r="P32" s="7">
        <v>0</v>
      </c>
      <c r="Q32" s="7">
        <v>574000</v>
      </c>
      <c r="R32" s="7">
        <v>614000</v>
      </c>
      <c r="S32" s="7">
        <v>0</v>
      </c>
      <c r="T32" s="7">
        <v>0</v>
      </c>
      <c r="U32" s="7">
        <v>0</v>
      </c>
      <c r="V32" s="7">
        <v>170</v>
      </c>
      <c r="W32" s="7">
        <v>0</v>
      </c>
      <c r="X32" s="7">
        <v>45200</v>
      </c>
    </row>
    <row r="33" spans="1:24" s="7" customFormat="1" x14ac:dyDescent="0.3">
      <c r="A33" s="7" t="s">
        <v>201</v>
      </c>
      <c r="B33" s="7">
        <f>B32/10</f>
        <v>25500</v>
      </c>
      <c r="C33" s="7">
        <f>C32/10</f>
        <v>0</v>
      </c>
      <c r="D33" s="7">
        <f>D32/10</f>
        <v>0</v>
      </c>
      <c r="E33" s="7">
        <f>E32/10</f>
        <v>24</v>
      </c>
      <c r="F33" s="7">
        <f t="shared" ref="F33:R36" si="13">F32/10</f>
        <v>0</v>
      </c>
      <c r="G33" s="7">
        <f t="shared" si="13"/>
        <v>7500</v>
      </c>
      <c r="H33" s="7">
        <f t="shared" si="13"/>
        <v>0</v>
      </c>
      <c r="I33" s="7">
        <f t="shared" si="13"/>
        <v>0</v>
      </c>
      <c r="J33" s="7">
        <f t="shared" si="13"/>
        <v>0</v>
      </c>
      <c r="K33" s="7">
        <f t="shared" si="13"/>
        <v>0</v>
      </c>
      <c r="L33" s="7">
        <f t="shared" si="13"/>
        <v>0</v>
      </c>
      <c r="M33" s="7">
        <f t="shared" si="13"/>
        <v>19726898.233824801</v>
      </c>
      <c r="N33" s="7">
        <v>0</v>
      </c>
      <c r="O33" s="7">
        <v>0</v>
      </c>
      <c r="P33" s="7">
        <f t="shared" si="13"/>
        <v>0</v>
      </c>
      <c r="Q33" s="7">
        <f t="shared" si="13"/>
        <v>57400</v>
      </c>
      <c r="R33" s="7">
        <f t="shared" si="13"/>
        <v>61400</v>
      </c>
      <c r="S33" s="7">
        <f t="shared" ref="S33:X36" si="14">S32/10</f>
        <v>0</v>
      </c>
      <c r="T33" s="7">
        <f t="shared" si="14"/>
        <v>0</v>
      </c>
      <c r="U33" s="7">
        <f t="shared" si="14"/>
        <v>0</v>
      </c>
      <c r="V33" s="7">
        <v>0</v>
      </c>
      <c r="W33" s="7">
        <f t="shared" si="14"/>
        <v>0</v>
      </c>
      <c r="X33" s="7">
        <f t="shared" si="14"/>
        <v>4520</v>
      </c>
    </row>
    <row r="34" spans="1:24" s="7" customFormat="1" x14ac:dyDescent="0.3">
      <c r="A34" s="7" t="s">
        <v>202</v>
      </c>
      <c r="B34" s="7">
        <f t="shared" ref="B34:E36" si="15">B33/10</f>
        <v>2550</v>
      </c>
      <c r="C34" s="7">
        <f t="shared" si="15"/>
        <v>0</v>
      </c>
      <c r="D34" s="7">
        <f t="shared" si="15"/>
        <v>0</v>
      </c>
      <c r="E34" s="7">
        <v>0</v>
      </c>
      <c r="F34" s="7">
        <f t="shared" si="13"/>
        <v>0</v>
      </c>
      <c r="G34" s="7">
        <f t="shared" si="13"/>
        <v>750</v>
      </c>
      <c r="H34" s="7">
        <f t="shared" si="13"/>
        <v>0</v>
      </c>
      <c r="I34" s="7">
        <f t="shared" si="13"/>
        <v>0</v>
      </c>
      <c r="J34" s="7">
        <f t="shared" si="13"/>
        <v>0</v>
      </c>
      <c r="K34" s="7">
        <f t="shared" si="13"/>
        <v>0</v>
      </c>
      <c r="L34" s="7">
        <f t="shared" si="13"/>
        <v>0</v>
      </c>
      <c r="M34" s="7">
        <f t="shared" si="13"/>
        <v>1972689.8233824801</v>
      </c>
      <c r="N34" s="7">
        <f t="shared" si="13"/>
        <v>0</v>
      </c>
      <c r="O34" s="7">
        <f t="shared" si="13"/>
        <v>0</v>
      </c>
      <c r="P34" s="7">
        <f t="shared" si="13"/>
        <v>0</v>
      </c>
      <c r="Q34" s="7">
        <v>0</v>
      </c>
      <c r="R34" s="7">
        <v>0</v>
      </c>
      <c r="S34" s="7">
        <f t="shared" si="14"/>
        <v>0</v>
      </c>
      <c r="T34" s="7">
        <f t="shared" si="14"/>
        <v>0</v>
      </c>
      <c r="U34" s="7">
        <f t="shared" si="14"/>
        <v>0</v>
      </c>
      <c r="V34" s="7">
        <v>0</v>
      </c>
      <c r="W34" s="7">
        <f t="shared" si="14"/>
        <v>0</v>
      </c>
      <c r="X34" s="7">
        <v>0</v>
      </c>
    </row>
    <row r="35" spans="1:24" s="7" customFormat="1" x14ac:dyDescent="0.3">
      <c r="A35" s="7" t="s">
        <v>203</v>
      </c>
      <c r="B35" s="7">
        <f t="shared" si="15"/>
        <v>255</v>
      </c>
      <c r="C35" s="7">
        <f t="shared" si="15"/>
        <v>0</v>
      </c>
      <c r="D35" s="7">
        <f t="shared" si="15"/>
        <v>0</v>
      </c>
      <c r="E35" s="7">
        <f t="shared" si="15"/>
        <v>0</v>
      </c>
      <c r="F35" s="7">
        <f t="shared" si="13"/>
        <v>0</v>
      </c>
      <c r="G35" s="7">
        <f t="shared" si="13"/>
        <v>75</v>
      </c>
      <c r="H35" s="7">
        <f t="shared" si="13"/>
        <v>0</v>
      </c>
      <c r="I35" s="7">
        <f t="shared" si="13"/>
        <v>0</v>
      </c>
      <c r="J35" s="7">
        <f t="shared" si="13"/>
        <v>0</v>
      </c>
      <c r="K35" s="7">
        <f t="shared" si="13"/>
        <v>0</v>
      </c>
      <c r="L35" s="7">
        <f t="shared" si="13"/>
        <v>0</v>
      </c>
      <c r="M35" s="7">
        <f t="shared" si="13"/>
        <v>197268.982338248</v>
      </c>
      <c r="N35" s="7">
        <f t="shared" si="13"/>
        <v>0</v>
      </c>
      <c r="O35" s="7">
        <f t="shared" si="13"/>
        <v>0</v>
      </c>
      <c r="P35" s="7">
        <f t="shared" si="13"/>
        <v>0</v>
      </c>
      <c r="Q35" s="7">
        <f t="shared" si="13"/>
        <v>0</v>
      </c>
      <c r="R35" s="7">
        <f t="shared" si="13"/>
        <v>0</v>
      </c>
      <c r="S35" s="7">
        <f t="shared" si="14"/>
        <v>0</v>
      </c>
      <c r="T35" s="7">
        <f t="shared" si="14"/>
        <v>0</v>
      </c>
      <c r="U35" s="7">
        <f t="shared" si="14"/>
        <v>0</v>
      </c>
      <c r="V35" s="7">
        <f t="shared" si="14"/>
        <v>0</v>
      </c>
      <c r="W35" s="7">
        <f t="shared" si="14"/>
        <v>0</v>
      </c>
      <c r="X35" s="7">
        <f t="shared" si="14"/>
        <v>0</v>
      </c>
    </row>
    <row r="36" spans="1:24" s="7" customFormat="1" x14ac:dyDescent="0.3">
      <c r="A36" s="7" t="s">
        <v>204</v>
      </c>
      <c r="B36" s="7">
        <f t="shared" si="15"/>
        <v>25.5</v>
      </c>
      <c r="C36" s="7">
        <f t="shared" si="15"/>
        <v>0</v>
      </c>
      <c r="D36" s="7">
        <f t="shared" si="15"/>
        <v>0</v>
      </c>
      <c r="E36" s="7">
        <f t="shared" si="15"/>
        <v>0</v>
      </c>
      <c r="F36" s="7">
        <f t="shared" si="13"/>
        <v>0</v>
      </c>
      <c r="G36" s="7">
        <v>0</v>
      </c>
      <c r="H36" s="7">
        <f t="shared" si="13"/>
        <v>0</v>
      </c>
      <c r="I36" s="7">
        <f t="shared" si="13"/>
        <v>0</v>
      </c>
      <c r="J36" s="7">
        <f t="shared" si="13"/>
        <v>0</v>
      </c>
      <c r="K36" s="7">
        <f t="shared" si="13"/>
        <v>0</v>
      </c>
      <c r="L36" s="7">
        <f t="shared" si="13"/>
        <v>0</v>
      </c>
      <c r="M36" s="7">
        <f t="shared" si="13"/>
        <v>19726.898233824799</v>
      </c>
      <c r="N36" s="7">
        <f t="shared" si="13"/>
        <v>0</v>
      </c>
      <c r="O36" s="7">
        <f t="shared" si="13"/>
        <v>0</v>
      </c>
      <c r="P36" s="7">
        <f t="shared" si="13"/>
        <v>0</v>
      </c>
      <c r="Q36" s="7">
        <f t="shared" si="13"/>
        <v>0</v>
      </c>
      <c r="R36" s="7">
        <f t="shared" si="13"/>
        <v>0</v>
      </c>
      <c r="S36" s="7">
        <f t="shared" si="14"/>
        <v>0</v>
      </c>
      <c r="T36" s="7">
        <f t="shared" si="14"/>
        <v>0</v>
      </c>
      <c r="U36" s="7">
        <f t="shared" si="14"/>
        <v>0</v>
      </c>
      <c r="V36" s="7">
        <f t="shared" si="14"/>
        <v>0</v>
      </c>
      <c r="W36" s="7">
        <f t="shared" si="14"/>
        <v>0</v>
      </c>
      <c r="X36" s="7">
        <f t="shared" si="14"/>
        <v>0</v>
      </c>
    </row>
    <row r="37" spans="1:24" s="7" customFormat="1" x14ac:dyDescent="0.3">
      <c r="A37" s="7" t="s">
        <v>205</v>
      </c>
      <c r="B37" s="7">
        <v>52500</v>
      </c>
      <c r="C37" s="7">
        <v>0</v>
      </c>
      <c r="D37" s="7">
        <v>0</v>
      </c>
      <c r="E37" s="7">
        <v>0</v>
      </c>
      <c r="F37" s="7">
        <v>0</v>
      </c>
      <c r="G37" s="7">
        <v>6500000</v>
      </c>
      <c r="H37" s="7">
        <v>0</v>
      </c>
      <c r="I37" s="7">
        <v>12850000</v>
      </c>
      <c r="J37" s="7">
        <v>0</v>
      </c>
      <c r="K37" s="7">
        <v>0</v>
      </c>
      <c r="L37" s="7">
        <v>265686875.07816416</v>
      </c>
      <c r="M37" s="7">
        <v>0</v>
      </c>
      <c r="N37" s="7">
        <v>0</v>
      </c>
      <c r="O37" s="7">
        <v>0</v>
      </c>
      <c r="P37" s="7">
        <v>2500000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s="7" customFormat="1" x14ac:dyDescent="0.3">
      <c r="A38" s="7" t="s">
        <v>206</v>
      </c>
      <c r="B38" s="7">
        <f t="shared" ref="B38:L41" si="16">B37/10</f>
        <v>5250</v>
      </c>
      <c r="C38" s="7">
        <f t="shared" si="16"/>
        <v>0</v>
      </c>
      <c r="D38" s="7">
        <f t="shared" si="16"/>
        <v>0</v>
      </c>
      <c r="E38" s="7">
        <f t="shared" si="16"/>
        <v>0</v>
      </c>
      <c r="F38" s="7">
        <f t="shared" si="16"/>
        <v>0</v>
      </c>
      <c r="G38" s="7">
        <f t="shared" si="16"/>
        <v>650000</v>
      </c>
      <c r="H38" s="7">
        <f t="shared" si="16"/>
        <v>0</v>
      </c>
      <c r="I38" s="7">
        <f t="shared" si="16"/>
        <v>1285000</v>
      </c>
      <c r="J38" s="7">
        <f t="shared" si="16"/>
        <v>0</v>
      </c>
      <c r="K38" s="7">
        <f t="shared" si="16"/>
        <v>0</v>
      </c>
      <c r="L38" s="7">
        <f t="shared" si="16"/>
        <v>26568687.507816415</v>
      </c>
      <c r="M38" s="7">
        <f t="shared" ref="M38:X41" si="17">M37/10</f>
        <v>0</v>
      </c>
      <c r="N38" s="7">
        <f t="shared" si="17"/>
        <v>0</v>
      </c>
      <c r="O38" s="7">
        <f t="shared" si="17"/>
        <v>0</v>
      </c>
      <c r="P38" s="7">
        <f t="shared" si="17"/>
        <v>250000</v>
      </c>
      <c r="Q38" s="7">
        <f t="shared" si="17"/>
        <v>0</v>
      </c>
      <c r="R38" s="7">
        <f t="shared" si="17"/>
        <v>0</v>
      </c>
      <c r="S38" s="7">
        <f t="shared" si="17"/>
        <v>0</v>
      </c>
      <c r="T38" s="7">
        <f t="shared" si="17"/>
        <v>0</v>
      </c>
      <c r="U38" s="7">
        <f t="shared" si="17"/>
        <v>0</v>
      </c>
      <c r="V38" s="7">
        <f t="shared" si="17"/>
        <v>0</v>
      </c>
      <c r="W38" s="7">
        <f t="shared" si="17"/>
        <v>0</v>
      </c>
      <c r="X38" s="7">
        <f t="shared" si="17"/>
        <v>0</v>
      </c>
    </row>
    <row r="39" spans="1:24" s="7" customFormat="1" x14ac:dyDescent="0.3">
      <c r="A39" s="7" t="s">
        <v>207</v>
      </c>
      <c r="B39" s="7">
        <f t="shared" si="16"/>
        <v>525</v>
      </c>
      <c r="C39" s="7">
        <f t="shared" si="16"/>
        <v>0</v>
      </c>
      <c r="D39" s="7">
        <f t="shared" si="16"/>
        <v>0</v>
      </c>
      <c r="E39" s="7">
        <f t="shared" si="16"/>
        <v>0</v>
      </c>
      <c r="F39" s="7">
        <f t="shared" si="16"/>
        <v>0</v>
      </c>
      <c r="G39" s="7">
        <f t="shared" si="16"/>
        <v>65000</v>
      </c>
      <c r="H39" s="7">
        <f t="shared" si="16"/>
        <v>0</v>
      </c>
      <c r="I39" s="7">
        <f t="shared" si="16"/>
        <v>128500</v>
      </c>
      <c r="J39" s="7">
        <f t="shared" si="16"/>
        <v>0</v>
      </c>
      <c r="K39" s="7">
        <f t="shared" si="16"/>
        <v>0</v>
      </c>
      <c r="L39" s="7">
        <f t="shared" si="16"/>
        <v>2656868.7507816413</v>
      </c>
      <c r="M39" s="7">
        <f t="shared" si="17"/>
        <v>0</v>
      </c>
      <c r="N39" s="7">
        <f t="shared" si="17"/>
        <v>0</v>
      </c>
      <c r="O39" s="7">
        <f t="shared" si="17"/>
        <v>0</v>
      </c>
      <c r="P39" s="7">
        <f t="shared" si="17"/>
        <v>25000</v>
      </c>
      <c r="Q39" s="7">
        <f t="shared" si="17"/>
        <v>0</v>
      </c>
      <c r="R39" s="7">
        <f t="shared" si="17"/>
        <v>0</v>
      </c>
      <c r="S39" s="7">
        <f t="shared" si="17"/>
        <v>0</v>
      </c>
      <c r="T39" s="7">
        <f t="shared" si="17"/>
        <v>0</v>
      </c>
      <c r="U39" s="7">
        <f t="shared" si="17"/>
        <v>0</v>
      </c>
      <c r="V39" s="7">
        <f t="shared" si="17"/>
        <v>0</v>
      </c>
      <c r="W39" s="7">
        <f t="shared" si="17"/>
        <v>0</v>
      </c>
      <c r="X39" s="7">
        <f t="shared" si="17"/>
        <v>0</v>
      </c>
    </row>
    <row r="40" spans="1:24" s="7" customFormat="1" x14ac:dyDescent="0.3">
      <c r="A40" s="7" t="s">
        <v>208</v>
      </c>
      <c r="B40" s="7">
        <f t="shared" si="16"/>
        <v>52.5</v>
      </c>
      <c r="C40" s="7">
        <f t="shared" si="16"/>
        <v>0</v>
      </c>
      <c r="D40" s="7">
        <f t="shared" si="16"/>
        <v>0</v>
      </c>
      <c r="E40" s="7">
        <f t="shared" si="16"/>
        <v>0</v>
      </c>
      <c r="F40" s="7">
        <f t="shared" si="16"/>
        <v>0</v>
      </c>
      <c r="G40" s="7">
        <f t="shared" si="16"/>
        <v>6500</v>
      </c>
      <c r="H40" s="7">
        <f t="shared" si="16"/>
        <v>0</v>
      </c>
      <c r="I40" s="7">
        <v>0</v>
      </c>
      <c r="J40" s="7">
        <f t="shared" si="16"/>
        <v>0</v>
      </c>
      <c r="K40" s="7">
        <f t="shared" si="16"/>
        <v>0</v>
      </c>
      <c r="L40" s="7">
        <f t="shared" si="16"/>
        <v>265686.87507816416</v>
      </c>
      <c r="M40" s="7">
        <f t="shared" si="17"/>
        <v>0</v>
      </c>
      <c r="N40" s="7">
        <f t="shared" si="17"/>
        <v>0</v>
      </c>
      <c r="O40" s="7">
        <f t="shared" si="17"/>
        <v>0</v>
      </c>
      <c r="P40" s="7">
        <v>0</v>
      </c>
      <c r="Q40" s="7">
        <f t="shared" si="17"/>
        <v>0</v>
      </c>
      <c r="R40" s="7">
        <f t="shared" si="17"/>
        <v>0</v>
      </c>
      <c r="S40" s="7">
        <f t="shared" si="17"/>
        <v>0</v>
      </c>
      <c r="T40" s="7">
        <f t="shared" si="17"/>
        <v>0</v>
      </c>
      <c r="U40" s="7">
        <f t="shared" si="17"/>
        <v>0</v>
      </c>
      <c r="V40" s="7">
        <f t="shared" si="17"/>
        <v>0</v>
      </c>
      <c r="W40" s="7">
        <f t="shared" si="17"/>
        <v>0</v>
      </c>
      <c r="X40" s="7">
        <f t="shared" si="17"/>
        <v>0</v>
      </c>
    </row>
    <row r="41" spans="1:24" s="7" customFormat="1" x14ac:dyDescent="0.3">
      <c r="A41" s="7" t="s">
        <v>209</v>
      </c>
      <c r="B41" s="7">
        <f t="shared" si="16"/>
        <v>5.25</v>
      </c>
      <c r="C41" s="7">
        <f t="shared" si="16"/>
        <v>0</v>
      </c>
      <c r="D41" s="7">
        <f t="shared" si="16"/>
        <v>0</v>
      </c>
      <c r="E41" s="7">
        <f t="shared" si="16"/>
        <v>0</v>
      </c>
      <c r="F41" s="7">
        <f t="shared" si="16"/>
        <v>0</v>
      </c>
      <c r="G41" s="7">
        <f t="shared" si="16"/>
        <v>650</v>
      </c>
      <c r="H41" s="7">
        <f t="shared" si="16"/>
        <v>0</v>
      </c>
      <c r="I41" s="7">
        <f t="shared" si="16"/>
        <v>0</v>
      </c>
      <c r="J41" s="7">
        <f t="shared" si="16"/>
        <v>0</v>
      </c>
      <c r="K41" s="7">
        <f t="shared" si="16"/>
        <v>0</v>
      </c>
      <c r="L41" s="7">
        <f t="shared" si="16"/>
        <v>26568.687507816416</v>
      </c>
      <c r="M41" s="7">
        <f t="shared" si="17"/>
        <v>0</v>
      </c>
      <c r="N41" s="7">
        <f t="shared" si="17"/>
        <v>0</v>
      </c>
      <c r="O41" s="7">
        <f t="shared" si="17"/>
        <v>0</v>
      </c>
      <c r="P41" s="7">
        <f t="shared" si="17"/>
        <v>0</v>
      </c>
      <c r="Q41" s="7">
        <f t="shared" si="17"/>
        <v>0</v>
      </c>
      <c r="R41" s="7">
        <f t="shared" si="17"/>
        <v>0</v>
      </c>
      <c r="S41" s="7">
        <f t="shared" si="17"/>
        <v>0</v>
      </c>
      <c r="T41" s="7">
        <f t="shared" si="17"/>
        <v>0</v>
      </c>
      <c r="U41" s="7">
        <f t="shared" si="17"/>
        <v>0</v>
      </c>
      <c r="V41" s="7">
        <f t="shared" si="17"/>
        <v>0</v>
      </c>
      <c r="W41" s="7">
        <f t="shared" si="17"/>
        <v>0</v>
      </c>
      <c r="X41" s="7">
        <f t="shared" si="17"/>
        <v>0</v>
      </c>
    </row>
    <row r="42" spans="1:24" s="7" customFormat="1" x14ac:dyDescent="0.3">
      <c r="A42" s="7" t="s">
        <v>210</v>
      </c>
      <c r="B42" s="7">
        <v>770000000</v>
      </c>
      <c r="C42" s="7">
        <v>0</v>
      </c>
      <c r="D42" s="7">
        <v>0</v>
      </c>
      <c r="E42" s="7">
        <v>0</v>
      </c>
      <c r="F42" s="7">
        <v>80.952380952380949</v>
      </c>
      <c r="G42" s="7">
        <v>1050000</v>
      </c>
      <c r="H42" s="7">
        <v>0</v>
      </c>
      <c r="I42" s="7">
        <v>0</v>
      </c>
      <c r="J42" s="7">
        <v>0</v>
      </c>
      <c r="K42" s="7">
        <v>33052320.852907799</v>
      </c>
      <c r="L42" s="7">
        <v>0</v>
      </c>
      <c r="M42" s="7">
        <v>0</v>
      </c>
      <c r="N42" s="7">
        <v>11249258.135160863</v>
      </c>
      <c r="O42" s="7">
        <v>0</v>
      </c>
      <c r="P42" s="7">
        <v>0</v>
      </c>
      <c r="Q42" s="7">
        <v>0</v>
      </c>
      <c r="R42" s="7">
        <v>737000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 s="7" customFormat="1" x14ac:dyDescent="0.3">
      <c r="A43" s="7" t="s">
        <v>211</v>
      </c>
      <c r="B43" s="7">
        <f t="shared" ref="B43:L46" si="18">B42/10</f>
        <v>77000000</v>
      </c>
      <c r="C43" s="7">
        <f t="shared" si="18"/>
        <v>0</v>
      </c>
      <c r="D43" s="7">
        <f t="shared" si="18"/>
        <v>0</v>
      </c>
      <c r="E43" s="7">
        <f t="shared" si="18"/>
        <v>0</v>
      </c>
      <c r="F43" s="7">
        <f t="shared" si="18"/>
        <v>8.0952380952380949</v>
      </c>
      <c r="G43" s="7">
        <f t="shared" si="18"/>
        <v>105000</v>
      </c>
      <c r="H43" s="7">
        <f t="shared" si="18"/>
        <v>0</v>
      </c>
      <c r="I43" s="7">
        <f t="shared" si="18"/>
        <v>0</v>
      </c>
      <c r="J43" s="7">
        <f t="shared" si="18"/>
        <v>0</v>
      </c>
      <c r="K43" s="7">
        <f t="shared" si="18"/>
        <v>3305232.0852907798</v>
      </c>
      <c r="L43" s="7">
        <f t="shared" si="18"/>
        <v>0</v>
      </c>
      <c r="M43" s="7">
        <f t="shared" ref="M43:X46" si="19">M42/10</f>
        <v>0</v>
      </c>
      <c r="N43" s="7">
        <f t="shared" si="19"/>
        <v>1124925.8135160864</v>
      </c>
      <c r="O43" s="7">
        <f t="shared" si="19"/>
        <v>0</v>
      </c>
      <c r="P43" s="7">
        <f t="shared" si="19"/>
        <v>0</v>
      </c>
      <c r="Q43" s="7">
        <f t="shared" si="19"/>
        <v>0</v>
      </c>
      <c r="R43" s="7">
        <f t="shared" si="19"/>
        <v>73700</v>
      </c>
      <c r="S43" s="7">
        <f t="shared" si="19"/>
        <v>0</v>
      </c>
      <c r="T43" s="7">
        <f t="shared" si="19"/>
        <v>0</v>
      </c>
      <c r="U43" s="7">
        <f t="shared" si="19"/>
        <v>0</v>
      </c>
      <c r="V43" s="7">
        <f t="shared" si="19"/>
        <v>0</v>
      </c>
      <c r="W43" s="7">
        <f t="shared" si="19"/>
        <v>0</v>
      </c>
      <c r="X43" s="7">
        <f t="shared" si="19"/>
        <v>0</v>
      </c>
    </row>
    <row r="44" spans="1:24" s="7" customFormat="1" x14ac:dyDescent="0.3">
      <c r="A44" s="7" t="s">
        <v>212</v>
      </c>
      <c r="B44" s="7">
        <f t="shared" si="18"/>
        <v>7700000</v>
      </c>
      <c r="C44" s="7">
        <f t="shared" si="18"/>
        <v>0</v>
      </c>
      <c r="D44" s="7">
        <f t="shared" si="18"/>
        <v>0</v>
      </c>
      <c r="E44" s="7">
        <f t="shared" si="18"/>
        <v>0</v>
      </c>
      <c r="F44" s="7">
        <v>0</v>
      </c>
      <c r="G44" s="7">
        <f t="shared" si="18"/>
        <v>10500</v>
      </c>
      <c r="H44" s="7">
        <f t="shared" si="18"/>
        <v>0</v>
      </c>
      <c r="I44" s="7">
        <f t="shared" si="18"/>
        <v>0</v>
      </c>
      <c r="J44" s="7">
        <f t="shared" si="18"/>
        <v>0</v>
      </c>
      <c r="K44" s="7">
        <f t="shared" si="18"/>
        <v>330523.20852907799</v>
      </c>
      <c r="L44" s="7">
        <f t="shared" si="18"/>
        <v>0</v>
      </c>
      <c r="M44" s="7">
        <f t="shared" si="19"/>
        <v>0</v>
      </c>
      <c r="N44" s="7">
        <f t="shared" si="19"/>
        <v>112492.58135160865</v>
      </c>
      <c r="O44" s="7">
        <f t="shared" si="19"/>
        <v>0</v>
      </c>
      <c r="P44" s="7">
        <f t="shared" si="19"/>
        <v>0</v>
      </c>
      <c r="Q44" s="7">
        <f t="shared" si="19"/>
        <v>0</v>
      </c>
      <c r="R44" s="7">
        <v>0</v>
      </c>
      <c r="S44" s="7">
        <f t="shared" si="19"/>
        <v>0</v>
      </c>
      <c r="T44" s="7">
        <f t="shared" si="19"/>
        <v>0</v>
      </c>
      <c r="U44" s="7">
        <f t="shared" si="19"/>
        <v>0</v>
      </c>
      <c r="V44" s="7">
        <f t="shared" si="19"/>
        <v>0</v>
      </c>
      <c r="W44" s="7">
        <f t="shared" si="19"/>
        <v>0</v>
      </c>
      <c r="X44" s="7">
        <f t="shared" si="19"/>
        <v>0</v>
      </c>
    </row>
    <row r="45" spans="1:24" s="7" customFormat="1" x14ac:dyDescent="0.3">
      <c r="A45" s="7" t="s">
        <v>213</v>
      </c>
      <c r="B45" s="7">
        <f t="shared" si="18"/>
        <v>770000</v>
      </c>
      <c r="C45" s="7">
        <f t="shared" si="18"/>
        <v>0</v>
      </c>
      <c r="D45" s="7">
        <f t="shared" si="18"/>
        <v>0</v>
      </c>
      <c r="E45" s="7">
        <f t="shared" si="18"/>
        <v>0</v>
      </c>
      <c r="F45" s="7">
        <f t="shared" si="18"/>
        <v>0</v>
      </c>
      <c r="G45" s="7">
        <f t="shared" si="18"/>
        <v>1050</v>
      </c>
      <c r="H45" s="7">
        <f t="shared" si="18"/>
        <v>0</v>
      </c>
      <c r="I45" s="7">
        <f t="shared" si="18"/>
        <v>0</v>
      </c>
      <c r="J45" s="7">
        <f t="shared" si="18"/>
        <v>0</v>
      </c>
      <c r="K45" s="7">
        <v>0</v>
      </c>
      <c r="L45" s="7">
        <f t="shared" si="18"/>
        <v>0</v>
      </c>
      <c r="M45" s="7">
        <f t="shared" si="19"/>
        <v>0</v>
      </c>
      <c r="N45" s="7">
        <f t="shared" si="19"/>
        <v>11249.258135160864</v>
      </c>
      <c r="O45" s="7">
        <f t="shared" si="19"/>
        <v>0</v>
      </c>
      <c r="P45" s="7">
        <f t="shared" si="19"/>
        <v>0</v>
      </c>
      <c r="Q45" s="7">
        <f t="shared" si="19"/>
        <v>0</v>
      </c>
      <c r="R45" s="7">
        <f t="shared" si="19"/>
        <v>0</v>
      </c>
      <c r="S45" s="7">
        <f t="shared" si="19"/>
        <v>0</v>
      </c>
      <c r="T45" s="7">
        <f t="shared" si="19"/>
        <v>0</v>
      </c>
      <c r="U45" s="7">
        <f t="shared" si="19"/>
        <v>0</v>
      </c>
      <c r="V45" s="7">
        <f t="shared" si="19"/>
        <v>0</v>
      </c>
      <c r="W45" s="7">
        <f t="shared" si="19"/>
        <v>0</v>
      </c>
      <c r="X45" s="7">
        <f t="shared" si="19"/>
        <v>0</v>
      </c>
    </row>
    <row r="46" spans="1:24" s="7" customFormat="1" x14ac:dyDescent="0.3">
      <c r="A46" s="7" t="s">
        <v>214</v>
      </c>
      <c r="B46" s="7">
        <f t="shared" si="18"/>
        <v>77000</v>
      </c>
      <c r="C46" s="7">
        <f t="shared" si="18"/>
        <v>0</v>
      </c>
      <c r="D46" s="7">
        <f t="shared" si="18"/>
        <v>0</v>
      </c>
      <c r="E46" s="7">
        <f t="shared" si="18"/>
        <v>0</v>
      </c>
      <c r="F46" s="7">
        <f t="shared" si="18"/>
        <v>0</v>
      </c>
      <c r="G46" s="7">
        <f t="shared" si="18"/>
        <v>105</v>
      </c>
      <c r="H46" s="7">
        <f t="shared" si="18"/>
        <v>0</v>
      </c>
      <c r="I46" s="7">
        <f t="shared" si="18"/>
        <v>0</v>
      </c>
      <c r="J46" s="7">
        <f t="shared" si="18"/>
        <v>0</v>
      </c>
      <c r="K46" s="7">
        <v>0</v>
      </c>
      <c r="L46" s="7">
        <f t="shared" si="18"/>
        <v>0</v>
      </c>
      <c r="M46" s="7">
        <f t="shared" si="19"/>
        <v>0</v>
      </c>
      <c r="N46" s="7">
        <f t="shared" si="19"/>
        <v>1124.9258135160865</v>
      </c>
      <c r="O46" s="7">
        <f t="shared" si="19"/>
        <v>0</v>
      </c>
      <c r="P46" s="7">
        <f t="shared" si="19"/>
        <v>0</v>
      </c>
      <c r="Q46" s="7">
        <f t="shared" si="19"/>
        <v>0</v>
      </c>
      <c r="R46" s="7">
        <f t="shared" si="19"/>
        <v>0</v>
      </c>
      <c r="S46" s="7">
        <f t="shared" si="19"/>
        <v>0</v>
      </c>
      <c r="T46" s="7">
        <f t="shared" si="19"/>
        <v>0</v>
      </c>
      <c r="U46" s="7">
        <f t="shared" si="19"/>
        <v>0</v>
      </c>
      <c r="V46" s="7">
        <f t="shared" si="19"/>
        <v>0</v>
      </c>
      <c r="W46" s="7">
        <f t="shared" si="19"/>
        <v>0</v>
      </c>
      <c r="X46" s="7">
        <f t="shared" si="19"/>
        <v>0</v>
      </c>
    </row>
    <row r="47" spans="1:24" s="7" customFormat="1" x14ac:dyDescent="0.3">
      <c r="A47" s="7" t="s">
        <v>99</v>
      </c>
      <c r="B47" s="7">
        <v>950</v>
      </c>
      <c r="C47" s="7">
        <v>26250</v>
      </c>
      <c r="D47" s="7">
        <v>0</v>
      </c>
      <c r="E47" s="7">
        <v>0</v>
      </c>
      <c r="F47" s="7">
        <v>0</v>
      </c>
      <c r="G47" s="7">
        <v>14500</v>
      </c>
      <c r="H47" s="7">
        <v>746362.75650062924</v>
      </c>
      <c r="I47" s="7">
        <v>13351.066527959772</v>
      </c>
      <c r="J47" s="7">
        <v>232435.23302498518</v>
      </c>
      <c r="K47" s="7">
        <v>1638577.3977619479</v>
      </c>
      <c r="L47" s="7">
        <v>0</v>
      </c>
      <c r="M47" s="7">
        <v>0</v>
      </c>
      <c r="N47" s="7">
        <v>941189.15196808334</v>
      </c>
      <c r="O47" s="7">
        <v>84600</v>
      </c>
      <c r="P47" s="7">
        <v>0</v>
      </c>
      <c r="Q47" s="7">
        <v>0</v>
      </c>
      <c r="R47" s="7">
        <v>11500</v>
      </c>
      <c r="S47" s="7">
        <v>59.000000000000007</v>
      </c>
      <c r="T47" s="7">
        <v>190</v>
      </c>
      <c r="U47" s="7">
        <v>0</v>
      </c>
      <c r="V47" s="7">
        <v>0</v>
      </c>
      <c r="W47" s="7">
        <v>0</v>
      </c>
      <c r="X47" s="7">
        <v>14800</v>
      </c>
    </row>
    <row r="48" spans="1:24" s="7" customFormat="1" x14ac:dyDescent="0.3">
      <c r="A48" s="7" t="s">
        <v>175</v>
      </c>
      <c r="B48" s="7">
        <f t="shared" ref="B48:L51" si="20">B47/10</f>
        <v>95</v>
      </c>
      <c r="C48" s="7">
        <f t="shared" si="20"/>
        <v>2625</v>
      </c>
      <c r="D48" s="7">
        <f t="shared" si="20"/>
        <v>0</v>
      </c>
      <c r="E48" s="7">
        <f t="shared" si="20"/>
        <v>0</v>
      </c>
      <c r="F48" s="7">
        <f t="shared" si="20"/>
        <v>0</v>
      </c>
      <c r="G48" s="7">
        <f t="shared" si="20"/>
        <v>1450</v>
      </c>
      <c r="H48" s="7">
        <f t="shared" si="20"/>
        <v>74636.275650062918</v>
      </c>
      <c r="I48" s="7">
        <v>0</v>
      </c>
      <c r="J48" s="7">
        <v>0</v>
      </c>
      <c r="K48" s="7">
        <f t="shared" si="20"/>
        <v>163857.73977619479</v>
      </c>
      <c r="L48" s="7">
        <f t="shared" si="20"/>
        <v>0</v>
      </c>
      <c r="M48" s="7">
        <f t="shared" ref="M48:X51" si="21">M47/10</f>
        <v>0</v>
      </c>
      <c r="N48" s="7">
        <f t="shared" si="21"/>
        <v>94118.915196808332</v>
      </c>
      <c r="O48" s="7">
        <v>0</v>
      </c>
      <c r="P48" s="7">
        <f t="shared" si="21"/>
        <v>0</v>
      </c>
      <c r="Q48" s="7">
        <f t="shared" si="21"/>
        <v>0</v>
      </c>
      <c r="R48" s="7">
        <v>0</v>
      </c>
      <c r="S48" s="7">
        <v>0</v>
      </c>
      <c r="T48" s="7">
        <v>0</v>
      </c>
      <c r="U48" s="7">
        <f t="shared" si="21"/>
        <v>0</v>
      </c>
      <c r="V48" s="7">
        <f t="shared" si="21"/>
        <v>0</v>
      </c>
      <c r="W48" s="7">
        <f t="shared" si="21"/>
        <v>0</v>
      </c>
      <c r="X48" s="7">
        <f t="shared" si="21"/>
        <v>1480</v>
      </c>
    </row>
    <row r="49" spans="1:24" s="7" customFormat="1" x14ac:dyDescent="0.3">
      <c r="A49" s="7" t="s">
        <v>176</v>
      </c>
      <c r="B49" s="7">
        <f t="shared" si="20"/>
        <v>9.5</v>
      </c>
      <c r="C49" s="7">
        <f t="shared" si="20"/>
        <v>262.5</v>
      </c>
      <c r="D49" s="7">
        <f t="shared" si="20"/>
        <v>0</v>
      </c>
      <c r="E49" s="7">
        <f t="shared" si="20"/>
        <v>0</v>
      </c>
      <c r="F49" s="7">
        <f t="shared" si="20"/>
        <v>0</v>
      </c>
      <c r="G49" s="7">
        <f t="shared" si="20"/>
        <v>145</v>
      </c>
      <c r="H49" s="7">
        <v>0</v>
      </c>
      <c r="I49" s="7">
        <f t="shared" si="20"/>
        <v>0</v>
      </c>
      <c r="J49" s="7">
        <f t="shared" si="20"/>
        <v>0</v>
      </c>
      <c r="K49" s="7">
        <v>0</v>
      </c>
      <c r="L49" s="7">
        <f t="shared" si="20"/>
        <v>0</v>
      </c>
      <c r="M49" s="7">
        <f t="shared" si="21"/>
        <v>0</v>
      </c>
      <c r="N49" s="7">
        <f t="shared" si="21"/>
        <v>9411.8915196808339</v>
      </c>
      <c r="O49" s="7">
        <f t="shared" si="21"/>
        <v>0</v>
      </c>
      <c r="P49" s="7">
        <f t="shared" si="21"/>
        <v>0</v>
      </c>
      <c r="Q49" s="7">
        <f t="shared" si="21"/>
        <v>0</v>
      </c>
      <c r="R49" s="7">
        <f t="shared" si="21"/>
        <v>0</v>
      </c>
      <c r="S49" s="7">
        <f t="shared" si="21"/>
        <v>0</v>
      </c>
      <c r="T49" s="7">
        <f t="shared" si="21"/>
        <v>0</v>
      </c>
      <c r="U49" s="7">
        <f t="shared" si="21"/>
        <v>0</v>
      </c>
      <c r="V49" s="7">
        <f t="shared" si="21"/>
        <v>0</v>
      </c>
      <c r="W49" s="7">
        <f t="shared" si="21"/>
        <v>0</v>
      </c>
      <c r="X49" s="7">
        <v>0</v>
      </c>
    </row>
    <row r="50" spans="1:24" s="7" customFormat="1" x14ac:dyDescent="0.3">
      <c r="A50" s="7" t="s">
        <v>177</v>
      </c>
      <c r="B50" s="7">
        <v>0</v>
      </c>
      <c r="C50" s="7">
        <f t="shared" si="20"/>
        <v>26.25</v>
      </c>
      <c r="D50" s="7">
        <f t="shared" si="20"/>
        <v>0</v>
      </c>
      <c r="E50" s="7">
        <f t="shared" si="20"/>
        <v>0</v>
      </c>
      <c r="F50" s="7">
        <f t="shared" si="20"/>
        <v>0</v>
      </c>
      <c r="G50" s="7">
        <v>0</v>
      </c>
      <c r="H50" s="7">
        <f t="shared" si="20"/>
        <v>0</v>
      </c>
      <c r="I50" s="7">
        <f t="shared" si="20"/>
        <v>0</v>
      </c>
      <c r="J50" s="7">
        <f t="shared" si="20"/>
        <v>0</v>
      </c>
      <c r="K50" s="7">
        <f t="shared" si="20"/>
        <v>0</v>
      </c>
      <c r="L50" s="7">
        <f t="shared" si="20"/>
        <v>0</v>
      </c>
      <c r="M50" s="7">
        <f t="shared" si="21"/>
        <v>0</v>
      </c>
      <c r="N50" s="7">
        <f t="shared" si="21"/>
        <v>941.18915196808337</v>
      </c>
      <c r="O50" s="7">
        <f t="shared" si="21"/>
        <v>0</v>
      </c>
      <c r="P50" s="7">
        <f t="shared" si="21"/>
        <v>0</v>
      </c>
      <c r="Q50" s="7">
        <f t="shared" si="21"/>
        <v>0</v>
      </c>
      <c r="R50" s="7">
        <f t="shared" si="21"/>
        <v>0</v>
      </c>
      <c r="S50" s="7">
        <f t="shared" si="21"/>
        <v>0</v>
      </c>
      <c r="T50" s="7">
        <f t="shared" si="21"/>
        <v>0</v>
      </c>
      <c r="U50" s="7">
        <f t="shared" si="21"/>
        <v>0</v>
      </c>
      <c r="V50" s="7">
        <f t="shared" si="21"/>
        <v>0</v>
      </c>
      <c r="W50" s="7">
        <f t="shared" si="21"/>
        <v>0</v>
      </c>
      <c r="X50" s="7">
        <f t="shared" si="21"/>
        <v>0</v>
      </c>
    </row>
    <row r="51" spans="1:24" s="7" customFormat="1" x14ac:dyDescent="0.3">
      <c r="A51" s="7" t="s">
        <v>178</v>
      </c>
      <c r="B51" s="7">
        <f t="shared" si="20"/>
        <v>0</v>
      </c>
      <c r="C51" s="7">
        <v>0</v>
      </c>
      <c r="D51" s="7">
        <f t="shared" si="20"/>
        <v>0</v>
      </c>
      <c r="E51" s="7">
        <f t="shared" si="20"/>
        <v>0</v>
      </c>
      <c r="F51" s="7">
        <f t="shared" si="20"/>
        <v>0</v>
      </c>
      <c r="G51" s="7">
        <f t="shared" si="20"/>
        <v>0</v>
      </c>
      <c r="H51" s="7">
        <f t="shared" si="20"/>
        <v>0</v>
      </c>
      <c r="I51" s="7">
        <f t="shared" si="20"/>
        <v>0</v>
      </c>
      <c r="J51" s="7">
        <f t="shared" si="20"/>
        <v>0</v>
      </c>
      <c r="K51" s="7">
        <f t="shared" si="20"/>
        <v>0</v>
      </c>
      <c r="L51" s="7">
        <f t="shared" si="20"/>
        <v>0</v>
      </c>
      <c r="M51" s="7">
        <f t="shared" si="21"/>
        <v>0</v>
      </c>
      <c r="N51" s="7">
        <v>0</v>
      </c>
      <c r="O51" s="7">
        <f t="shared" si="21"/>
        <v>0</v>
      </c>
      <c r="P51" s="7">
        <f t="shared" si="21"/>
        <v>0</v>
      </c>
      <c r="Q51" s="7">
        <f t="shared" si="21"/>
        <v>0</v>
      </c>
      <c r="R51" s="7">
        <f t="shared" si="21"/>
        <v>0</v>
      </c>
      <c r="S51" s="7">
        <f t="shared" si="21"/>
        <v>0</v>
      </c>
      <c r="T51" s="7">
        <f t="shared" si="21"/>
        <v>0</v>
      </c>
      <c r="U51" s="7">
        <f t="shared" si="21"/>
        <v>0</v>
      </c>
      <c r="V51" s="7">
        <f t="shared" si="21"/>
        <v>0</v>
      </c>
      <c r="W51" s="7">
        <f t="shared" si="21"/>
        <v>0</v>
      </c>
      <c r="X51" s="7">
        <f t="shared" si="21"/>
        <v>0</v>
      </c>
    </row>
    <row r="52" spans="1:24" s="7" customFormat="1" x14ac:dyDescent="0.3">
      <c r="A52" s="7" t="s">
        <v>101</v>
      </c>
      <c r="B52" s="7">
        <v>63000</v>
      </c>
      <c r="C52" s="7">
        <v>4540</v>
      </c>
      <c r="D52" s="7">
        <v>0</v>
      </c>
      <c r="E52" s="7">
        <v>30</v>
      </c>
      <c r="F52" s="7">
        <v>0</v>
      </c>
      <c r="G52" s="7">
        <v>1100000</v>
      </c>
      <c r="H52" s="7">
        <v>17750000</v>
      </c>
      <c r="I52" s="7">
        <v>0</v>
      </c>
      <c r="J52" s="7">
        <v>0</v>
      </c>
      <c r="K52" s="7">
        <v>0</v>
      </c>
      <c r="L52" s="7">
        <v>0</v>
      </c>
      <c r="M52" s="7">
        <v>31839.597987411838</v>
      </c>
      <c r="N52" s="7">
        <v>20736362.453615837</v>
      </c>
      <c r="O52" s="7">
        <v>105000</v>
      </c>
      <c r="P52" s="7">
        <v>0</v>
      </c>
      <c r="Q52" s="7">
        <v>0</v>
      </c>
      <c r="R52" s="7">
        <v>26000</v>
      </c>
      <c r="S52" s="7">
        <v>280</v>
      </c>
      <c r="T52" s="7">
        <v>980</v>
      </c>
      <c r="U52" s="7">
        <v>0</v>
      </c>
      <c r="V52" s="7">
        <v>260</v>
      </c>
      <c r="W52" s="7">
        <v>62800</v>
      </c>
      <c r="X52" s="7">
        <v>13600</v>
      </c>
    </row>
    <row r="53" spans="1:24" s="7" customFormat="1" x14ac:dyDescent="0.3">
      <c r="A53" s="7" t="s">
        <v>179</v>
      </c>
      <c r="B53" s="7">
        <f t="shared" ref="B53:L56" si="22">B52/10</f>
        <v>6300</v>
      </c>
      <c r="C53" s="7">
        <f t="shared" si="22"/>
        <v>454</v>
      </c>
      <c r="D53" s="7">
        <f t="shared" si="22"/>
        <v>0</v>
      </c>
      <c r="E53" s="7">
        <v>0</v>
      </c>
      <c r="F53" s="7">
        <f t="shared" si="22"/>
        <v>0</v>
      </c>
      <c r="G53" s="7">
        <f t="shared" si="22"/>
        <v>110000</v>
      </c>
      <c r="H53" s="7">
        <f t="shared" si="22"/>
        <v>1775000</v>
      </c>
      <c r="I53" s="7">
        <f t="shared" si="22"/>
        <v>0</v>
      </c>
      <c r="J53" s="7">
        <f t="shared" si="22"/>
        <v>0</v>
      </c>
      <c r="K53" s="7">
        <f t="shared" si="22"/>
        <v>0</v>
      </c>
      <c r="L53" s="7">
        <f t="shared" si="22"/>
        <v>0</v>
      </c>
      <c r="M53" s="7">
        <f t="shared" ref="M53:X54" si="23">M52/10</f>
        <v>3183.9597987411839</v>
      </c>
      <c r="N53" s="7">
        <f t="shared" si="23"/>
        <v>2073636.2453615838</v>
      </c>
      <c r="O53" s="7">
        <v>0</v>
      </c>
      <c r="P53" s="7">
        <f t="shared" si="23"/>
        <v>0</v>
      </c>
      <c r="Q53" s="7">
        <f t="shared" si="23"/>
        <v>0</v>
      </c>
      <c r="R53" s="7">
        <v>0</v>
      </c>
      <c r="S53" s="7">
        <v>0</v>
      </c>
      <c r="T53" s="7">
        <f t="shared" si="23"/>
        <v>98</v>
      </c>
      <c r="U53" s="7">
        <f t="shared" si="23"/>
        <v>0</v>
      </c>
      <c r="V53" s="7">
        <v>0</v>
      </c>
      <c r="W53" s="7">
        <v>0</v>
      </c>
      <c r="X53" s="7">
        <f t="shared" si="23"/>
        <v>1360</v>
      </c>
    </row>
    <row r="54" spans="1:24" s="7" customFormat="1" x14ac:dyDescent="0.3">
      <c r="A54" s="7" t="s">
        <v>180</v>
      </c>
      <c r="B54" s="7">
        <f t="shared" si="22"/>
        <v>630</v>
      </c>
      <c r="C54" s="7">
        <f t="shared" si="22"/>
        <v>45.4</v>
      </c>
      <c r="D54" s="7">
        <f t="shared" si="22"/>
        <v>0</v>
      </c>
      <c r="E54" s="7">
        <v>0</v>
      </c>
      <c r="F54" s="7">
        <f t="shared" si="22"/>
        <v>0</v>
      </c>
      <c r="G54" s="7">
        <f t="shared" si="22"/>
        <v>11000</v>
      </c>
      <c r="H54" s="7">
        <f t="shared" si="22"/>
        <v>177500</v>
      </c>
      <c r="I54" s="7">
        <f t="shared" si="22"/>
        <v>0</v>
      </c>
      <c r="J54" s="7">
        <f t="shared" si="22"/>
        <v>0</v>
      </c>
      <c r="K54" s="7">
        <f t="shared" si="22"/>
        <v>0</v>
      </c>
      <c r="L54" s="7">
        <f t="shared" si="22"/>
        <v>0</v>
      </c>
      <c r="M54" s="7">
        <v>0</v>
      </c>
      <c r="N54" s="7">
        <f t="shared" si="23"/>
        <v>207363.62453615837</v>
      </c>
      <c r="O54" s="7">
        <f t="shared" si="23"/>
        <v>0</v>
      </c>
      <c r="P54" s="7">
        <f t="shared" si="23"/>
        <v>0</v>
      </c>
      <c r="Q54" s="7">
        <f t="shared" si="23"/>
        <v>0</v>
      </c>
      <c r="R54" s="7">
        <f t="shared" si="23"/>
        <v>0</v>
      </c>
      <c r="S54" s="7">
        <f t="shared" si="23"/>
        <v>0</v>
      </c>
      <c r="T54" s="7">
        <v>0</v>
      </c>
      <c r="U54" s="7">
        <f t="shared" si="23"/>
        <v>0</v>
      </c>
      <c r="V54" s="7">
        <f t="shared" si="23"/>
        <v>0</v>
      </c>
      <c r="W54" s="7">
        <f t="shared" si="23"/>
        <v>0</v>
      </c>
      <c r="X54" s="7">
        <v>0</v>
      </c>
    </row>
    <row r="55" spans="1:24" s="7" customFormat="1" x14ac:dyDescent="0.3">
      <c r="A55" s="7" t="s">
        <v>181</v>
      </c>
      <c r="B55" s="7">
        <f t="shared" si="22"/>
        <v>63</v>
      </c>
      <c r="C55" s="7">
        <v>0</v>
      </c>
      <c r="D55" s="7">
        <f t="shared" si="22"/>
        <v>0</v>
      </c>
      <c r="E55" s="7">
        <f t="shared" si="22"/>
        <v>0</v>
      </c>
      <c r="F55" s="7">
        <f t="shared" si="22"/>
        <v>0</v>
      </c>
      <c r="G55" s="7">
        <f t="shared" si="22"/>
        <v>1100</v>
      </c>
      <c r="H55" s="7">
        <v>0</v>
      </c>
      <c r="I55" s="7">
        <f t="shared" si="22"/>
        <v>0</v>
      </c>
      <c r="J55" s="7">
        <f t="shared" si="22"/>
        <v>0</v>
      </c>
      <c r="K55" s="7">
        <f t="shared" si="22"/>
        <v>0</v>
      </c>
      <c r="L55" s="7">
        <f t="shared" si="22"/>
        <v>0</v>
      </c>
      <c r="M55" s="7">
        <f t="shared" ref="M55:X56" si="24">M54/10</f>
        <v>0</v>
      </c>
      <c r="N55" s="7">
        <f t="shared" si="24"/>
        <v>20736.362453615839</v>
      </c>
      <c r="O55" s="7">
        <f t="shared" si="24"/>
        <v>0</v>
      </c>
      <c r="P55" s="7">
        <f t="shared" si="24"/>
        <v>0</v>
      </c>
      <c r="Q55" s="7">
        <f t="shared" si="24"/>
        <v>0</v>
      </c>
      <c r="R55" s="7">
        <f t="shared" si="24"/>
        <v>0</v>
      </c>
      <c r="S55" s="7">
        <f t="shared" si="24"/>
        <v>0</v>
      </c>
      <c r="T55" s="7">
        <f t="shared" si="24"/>
        <v>0</v>
      </c>
      <c r="U55" s="7">
        <f t="shared" si="24"/>
        <v>0</v>
      </c>
      <c r="V55" s="7">
        <f t="shared" si="24"/>
        <v>0</v>
      </c>
      <c r="W55" s="7">
        <f t="shared" si="24"/>
        <v>0</v>
      </c>
      <c r="X55" s="7">
        <f t="shared" si="24"/>
        <v>0</v>
      </c>
    </row>
    <row r="56" spans="1:24" s="7" customFormat="1" x14ac:dyDescent="0.3">
      <c r="A56" s="7" t="s">
        <v>182</v>
      </c>
      <c r="B56" s="7">
        <f t="shared" si="22"/>
        <v>6.3</v>
      </c>
      <c r="C56" s="7">
        <f t="shared" si="22"/>
        <v>0</v>
      </c>
      <c r="D56" s="7">
        <f t="shared" si="22"/>
        <v>0</v>
      </c>
      <c r="E56" s="7">
        <f t="shared" si="22"/>
        <v>0</v>
      </c>
      <c r="F56" s="7">
        <f t="shared" si="22"/>
        <v>0</v>
      </c>
      <c r="G56" s="7">
        <f t="shared" si="22"/>
        <v>110</v>
      </c>
      <c r="H56" s="7">
        <f t="shared" si="22"/>
        <v>0</v>
      </c>
      <c r="I56" s="7">
        <f t="shared" si="22"/>
        <v>0</v>
      </c>
      <c r="J56" s="7">
        <f t="shared" si="22"/>
        <v>0</v>
      </c>
      <c r="K56" s="7">
        <f t="shared" si="22"/>
        <v>0</v>
      </c>
      <c r="L56" s="7">
        <f t="shared" si="22"/>
        <v>0</v>
      </c>
      <c r="M56" s="7">
        <f t="shared" si="24"/>
        <v>0</v>
      </c>
      <c r="N56" s="7">
        <f t="shared" si="24"/>
        <v>2073.6362453615839</v>
      </c>
      <c r="O56" s="7">
        <f t="shared" si="24"/>
        <v>0</v>
      </c>
      <c r="P56" s="7">
        <f t="shared" si="24"/>
        <v>0</v>
      </c>
      <c r="Q56" s="7">
        <f t="shared" si="24"/>
        <v>0</v>
      </c>
      <c r="R56" s="7">
        <f t="shared" si="24"/>
        <v>0</v>
      </c>
      <c r="S56" s="7">
        <f t="shared" si="24"/>
        <v>0</v>
      </c>
      <c r="T56" s="7">
        <f t="shared" si="24"/>
        <v>0</v>
      </c>
      <c r="U56" s="7">
        <f t="shared" si="24"/>
        <v>0</v>
      </c>
      <c r="V56" s="7">
        <f t="shared" si="24"/>
        <v>0</v>
      </c>
      <c r="W56" s="7">
        <f t="shared" si="24"/>
        <v>0</v>
      </c>
      <c r="X56" s="7">
        <f t="shared" si="24"/>
        <v>0</v>
      </c>
    </row>
    <row r="57" spans="1:24" s="7" customFormat="1" x14ac:dyDescent="0.3">
      <c r="A57" s="7" t="s">
        <v>130</v>
      </c>
      <c r="B57" s="7">
        <v>40227</v>
      </c>
      <c r="C57" s="7">
        <v>0</v>
      </c>
      <c r="D57" s="7">
        <v>0</v>
      </c>
      <c r="E57" s="7">
        <v>0</v>
      </c>
      <c r="F57" s="7">
        <v>145</v>
      </c>
      <c r="G57" s="7">
        <v>3000000</v>
      </c>
      <c r="H57" s="7">
        <v>20550000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70162126.326048225</v>
      </c>
      <c r="O57" s="7">
        <v>456000</v>
      </c>
      <c r="P57" s="7">
        <v>0</v>
      </c>
      <c r="Q57" s="7">
        <v>0</v>
      </c>
      <c r="R57" s="7">
        <v>0</v>
      </c>
      <c r="S57" s="7">
        <v>390</v>
      </c>
      <c r="T57" s="7">
        <v>580</v>
      </c>
      <c r="U57" s="7">
        <v>260</v>
      </c>
      <c r="V57" s="7">
        <v>160</v>
      </c>
      <c r="W57" s="7">
        <v>0</v>
      </c>
      <c r="X57" s="7">
        <v>158800</v>
      </c>
    </row>
    <row r="58" spans="1:24" s="7" customFormat="1" x14ac:dyDescent="0.3">
      <c r="A58" s="7" t="s">
        <v>183</v>
      </c>
      <c r="B58" s="7">
        <f t="shared" ref="B58:L61" si="25">B57/10</f>
        <v>4022.7</v>
      </c>
      <c r="C58" s="7">
        <f t="shared" si="25"/>
        <v>0</v>
      </c>
      <c r="D58" s="7">
        <f t="shared" si="25"/>
        <v>0</v>
      </c>
      <c r="E58" s="7">
        <f t="shared" si="25"/>
        <v>0</v>
      </c>
      <c r="F58" s="7">
        <f t="shared" si="25"/>
        <v>14.5</v>
      </c>
      <c r="G58" s="7">
        <f t="shared" si="25"/>
        <v>300000</v>
      </c>
      <c r="H58" s="7">
        <f t="shared" si="25"/>
        <v>2055000</v>
      </c>
      <c r="I58" s="7">
        <f t="shared" si="25"/>
        <v>0</v>
      </c>
      <c r="J58" s="7">
        <f t="shared" si="25"/>
        <v>0</v>
      </c>
      <c r="K58" s="7">
        <f t="shared" si="25"/>
        <v>0</v>
      </c>
      <c r="L58" s="7">
        <f t="shared" si="25"/>
        <v>0</v>
      </c>
      <c r="M58" s="7">
        <f t="shared" ref="M58:X61" si="26">M57/10</f>
        <v>0</v>
      </c>
      <c r="N58" s="7">
        <f t="shared" si="26"/>
        <v>7016212.6326048225</v>
      </c>
      <c r="O58" s="7">
        <f t="shared" si="26"/>
        <v>45600</v>
      </c>
      <c r="P58" s="7">
        <f t="shared" si="26"/>
        <v>0</v>
      </c>
      <c r="Q58" s="7">
        <f t="shared" si="26"/>
        <v>0</v>
      </c>
      <c r="R58" s="7">
        <f t="shared" si="26"/>
        <v>0</v>
      </c>
      <c r="S58" s="7">
        <v>0</v>
      </c>
      <c r="T58" s="7">
        <f t="shared" si="26"/>
        <v>58</v>
      </c>
      <c r="U58" s="7">
        <v>0</v>
      </c>
      <c r="V58" s="7">
        <v>0</v>
      </c>
      <c r="W58" s="7">
        <f t="shared" si="26"/>
        <v>0</v>
      </c>
      <c r="X58" s="7">
        <f t="shared" si="26"/>
        <v>15880</v>
      </c>
    </row>
    <row r="59" spans="1:24" s="7" customFormat="1" x14ac:dyDescent="0.3">
      <c r="A59" s="7" t="s">
        <v>184</v>
      </c>
      <c r="B59" s="7">
        <f t="shared" si="25"/>
        <v>402.27</v>
      </c>
      <c r="C59" s="7">
        <f t="shared" si="25"/>
        <v>0</v>
      </c>
      <c r="D59" s="7">
        <f t="shared" si="25"/>
        <v>0</v>
      </c>
      <c r="E59" s="7">
        <f t="shared" si="25"/>
        <v>0</v>
      </c>
      <c r="F59" s="7">
        <v>0</v>
      </c>
      <c r="G59" s="7">
        <f t="shared" si="25"/>
        <v>30000</v>
      </c>
      <c r="H59" s="7">
        <f t="shared" si="25"/>
        <v>205500</v>
      </c>
      <c r="I59" s="7">
        <f t="shared" si="25"/>
        <v>0</v>
      </c>
      <c r="J59" s="7">
        <f t="shared" si="25"/>
        <v>0</v>
      </c>
      <c r="K59" s="7">
        <f t="shared" si="25"/>
        <v>0</v>
      </c>
      <c r="L59" s="7">
        <f t="shared" si="25"/>
        <v>0</v>
      </c>
      <c r="M59" s="7">
        <f t="shared" si="26"/>
        <v>0</v>
      </c>
      <c r="N59" s="7">
        <f t="shared" si="26"/>
        <v>701621.26326048223</v>
      </c>
      <c r="O59" s="7">
        <v>0</v>
      </c>
      <c r="P59" s="7">
        <f t="shared" si="26"/>
        <v>0</v>
      </c>
      <c r="Q59" s="7">
        <f t="shared" si="26"/>
        <v>0</v>
      </c>
      <c r="R59" s="7">
        <f t="shared" si="26"/>
        <v>0</v>
      </c>
      <c r="S59" s="7">
        <f t="shared" si="26"/>
        <v>0</v>
      </c>
      <c r="T59" s="7">
        <v>0</v>
      </c>
      <c r="U59" s="7">
        <f t="shared" si="26"/>
        <v>0</v>
      </c>
      <c r="V59" s="7">
        <f t="shared" si="26"/>
        <v>0</v>
      </c>
      <c r="W59" s="7">
        <f t="shared" si="26"/>
        <v>0</v>
      </c>
      <c r="X59" s="7">
        <f t="shared" si="26"/>
        <v>1588</v>
      </c>
    </row>
    <row r="60" spans="1:24" s="7" customFormat="1" x14ac:dyDescent="0.3">
      <c r="A60" s="7" t="s">
        <v>185</v>
      </c>
      <c r="B60" s="7">
        <f t="shared" si="25"/>
        <v>40.226999999999997</v>
      </c>
      <c r="C60" s="7">
        <f t="shared" si="25"/>
        <v>0</v>
      </c>
      <c r="D60" s="7">
        <f t="shared" si="25"/>
        <v>0</v>
      </c>
      <c r="E60" s="7">
        <f t="shared" si="25"/>
        <v>0</v>
      </c>
      <c r="F60" s="7">
        <f t="shared" si="25"/>
        <v>0</v>
      </c>
      <c r="G60" s="7">
        <f t="shared" si="25"/>
        <v>3000</v>
      </c>
      <c r="H60" s="7">
        <v>0</v>
      </c>
      <c r="I60" s="7">
        <f t="shared" si="25"/>
        <v>0</v>
      </c>
      <c r="J60" s="7">
        <f t="shared" si="25"/>
        <v>0</v>
      </c>
      <c r="K60" s="7">
        <f t="shared" si="25"/>
        <v>0</v>
      </c>
      <c r="L60" s="7">
        <f t="shared" si="25"/>
        <v>0</v>
      </c>
      <c r="M60" s="7">
        <f t="shared" si="26"/>
        <v>0</v>
      </c>
      <c r="N60" s="7">
        <f t="shared" si="26"/>
        <v>70162.126326048223</v>
      </c>
      <c r="O60" s="7">
        <f t="shared" si="26"/>
        <v>0</v>
      </c>
      <c r="P60" s="7">
        <f t="shared" si="26"/>
        <v>0</v>
      </c>
      <c r="Q60" s="7">
        <f t="shared" si="26"/>
        <v>0</v>
      </c>
      <c r="R60" s="7">
        <f t="shared" si="26"/>
        <v>0</v>
      </c>
      <c r="S60" s="7">
        <f t="shared" si="26"/>
        <v>0</v>
      </c>
      <c r="T60" s="7">
        <f t="shared" si="26"/>
        <v>0</v>
      </c>
      <c r="U60" s="7">
        <f t="shared" si="26"/>
        <v>0</v>
      </c>
      <c r="V60" s="7">
        <f t="shared" si="26"/>
        <v>0</v>
      </c>
      <c r="W60" s="7">
        <f t="shared" si="26"/>
        <v>0</v>
      </c>
      <c r="X60" s="7">
        <v>0</v>
      </c>
    </row>
    <row r="61" spans="1:24" s="7" customFormat="1" x14ac:dyDescent="0.3">
      <c r="A61" s="7" t="s">
        <v>186</v>
      </c>
      <c r="B61" s="7">
        <v>0</v>
      </c>
      <c r="C61" s="7">
        <f t="shared" si="25"/>
        <v>0</v>
      </c>
      <c r="D61" s="7">
        <f t="shared" si="25"/>
        <v>0</v>
      </c>
      <c r="E61" s="7">
        <f t="shared" si="25"/>
        <v>0</v>
      </c>
      <c r="F61" s="7">
        <f t="shared" si="25"/>
        <v>0</v>
      </c>
      <c r="G61" s="7">
        <f t="shared" si="25"/>
        <v>300</v>
      </c>
      <c r="H61" s="7">
        <f t="shared" si="25"/>
        <v>0</v>
      </c>
      <c r="I61" s="7">
        <f t="shared" si="25"/>
        <v>0</v>
      </c>
      <c r="J61" s="7">
        <f t="shared" si="25"/>
        <v>0</v>
      </c>
      <c r="K61" s="7">
        <f t="shared" si="25"/>
        <v>0</v>
      </c>
      <c r="L61" s="7">
        <f t="shared" si="25"/>
        <v>0</v>
      </c>
      <c r="M61" s="7">
        <f t="shared" si="26"/>
        <v>0</v>
      </c>
      <c r="N61" s="7">
        <f t="shared" si="26"/>
        <v>7016.2126326048219</v>
      </c>
      <c r="O61" s="7">
        <f t="shared" si="26"/>
        <v>0</v>
      </c>
      <c r="P61" s="7">
        <f t="shared" si="26"/>
        <v>0</v>
      </c>
      <c r="Q61" s="7">
        <f t="shared" si="26"/>
        <v>0</v>
      </c>
      <c r="R61" s="7">
        <f t="shared" si="26"/>
        <v>0</v>
      </c>
      <c r="S61" s="7">
        <f t="shared" si="26"/>
        <v>0</v>
      </c>
      <c r="T61" s="7">
        <f t="shared" si="26"/>
        <v>0</v>
      </c>
      <c r="U61" s="7">
        <f t="shared" si="26"/>
        <v>0</v>
      </c>
      <c r="V61" s="7">
        <f t="shared" si="26"/>
        <v>0</v>
      </c>
      <c r="W61" s="7">
        <f t="shared" si="26"/>
        <v>0</v>
      </c>
      <c r="X61" s="7">
        <f t="shared" si="26"/>
        <v>0</v>
      </c>
    </row>
    <row r="62" spans="1:24" s="7" customFormat="1" x14ac:dyDescent="0.3">
      <c r="A62" s="7" t="s">
        <v>131</v>
      </c>
      <c r="B62" s="7">
        <v>105454</v>
      </c>
      <c r="C62" s="7">
        <v>0</v>
      </c>
      <c r="D62" s="7">
        <v>0</v>
      </c>
      <c r="E62" s="7">
        <v>5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479249755.27171636</v>
      </c>
      <c r="N62" s="7">
        <v>0</v>
      </c>
      <c r="O62" s="7">
        <v>0</v>
      </c>
      <c r="P62" s="7">
        <v>0</v>
      </c>
      <c r="Q62" s="7">
        <v>240000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24000</v>
      </c>
    </row>
    <row r="63" spans="1:24" s="7" customFormat="1" x14ac:dyDescent="0.3">
      <c r="A63" s="7" t="s">
        <v>189</v>
      </c>
      <c r="B63" s="7">
        <f t="shared" ref="B63:L66" si="27">B62/10</f>
        <v>10545.4</v>
      </c>
      <c r="C63" s="7">
        <f t="shared" si="27"/>
        <v>0</v>
      </c>
      <c r="D63" s="7">
        <f t="shared" si="27"/>
        <v>0</v>
      </c>
      <c r="E63" s="7">
        <v>0</v>
      </c>
      <c r="F63" s="7">
        <f t="shared" si="27"/>
        <v>0</v>
      </c>
      <c r="G63" s="7">
        <f t="shared" si="27"/>
        <v>0</v>
      </c>
      <c r="H63" s="7">
        <f t="shared" si="27"/>
        <v>0</v>
      </c>
      <c r="I63" s="7">
        <f t="shared" si="27"/>
        <v>0</v>
      </c>
      <c r="J63" s="7">
        <f t="shared" si="27"/>
        <v>0</v>
      </c>
      <c r="K63" s="7">
        <f t="shared" si="27"/>
        <v>0</v>
      </c>
      <c r="L63" s="7">
        <f t="shared" si="27"/>
        <v>0</v>
      </c>
      <c r="M63" s="7">
        <f t="shared" ref="M63:X66" si="28">M62/10</f>
        <v>47924975.527171634</v>
      </c>
      <c r="N63" s="7">
        <f t="shared" si="28"/>
        <v>0</v>
      </c>
      <c r="O63" s="7">
        <f t="shared" si="28"/>
        <v>0</v>
      </c>
      <c r="P63" s="7">
        <f t="shared" si="28"/>
        <v>0</v>
      </c>
      <c r="Q63" s="7">
        <f t="shared" si="28"/>
        <v>24000</v>
      </c>
      <c r="R63" s="7">
        <f t="shared" si="28"/>
        <v>0</v>
      </c>
      <c r="S63" s="7">
        <f t="shared" si="28"/>
        <v>0</v>
      </c>
      <c r="T63" s="7">
        <f t="shared" si="28"/>
        <v>0</v>
      </c>
      <c r="U63" s="7">
        <f t="shared" si="28"/>
        <v>0</v>
      </c>
      <c r="V63" s="7">
        <f t="shared" si="28"/>
        <v>0</v>
      </c>
      <c r="W63" s="7">
        <f t="shared" si="28"/>
        <v>0</v>
      </c>
      <c r="X63" s="7">
        <f t="shared" si="28"/>
        <v>2400</v>
      </c>
    </row>
    <row r="64" spans="1:24" s="7" customFormat="1" x14ac:dyDescent="0.3">
      <c r="A64" s="7" t="s">
        <v>187</v>
      </c>
      <c r="B64" s="7">
        <f t="shared" si="27"/>
        <v>1054.54</v>
      </c>
      <c r="C64" s="7">
        <f t="shared" si="27"/>
        <v>0</v>
      </c>
      <c r="D64" s="7">
        <f t="shared" si="27"/>
        <v>0</v>
      </c>
      <c r="E64" s="7">
        <f t="shared" si="27"/>
        <v>0</v>
      </c>
      <c r="F64" s="7">
        <f t="shared" si="27"/>
        <v>0</v>
      </c>
      <c r="G64" s="7">
        <f t="shared" si="27"/>
        <v>0</v>
      </c>
      <c r="H64" s="7">
        <f t="shared" si="27"/>
        <v>0</v>
      </c>
      <c r="I64" s="7">
        <f t="shared" si="27"/>
        <v>0</v>
      </c>
      <c r="J64" s="7">
        <f t="shared" si="27"/>
        <v>0</v>
      </c>
      <c r="K64" s="7">
        <f t="shared" si="27"/>
        <v>0</v>
      </c>
      <c r="L64" s="7">
        <f t="shared" si="27"/>
        <v>0</v>
      </c>
      <c r="M64" s="7">
        <f t="shared" si="28"/>
        <v>4792497.5527171632</v>
      </c>
      <c r="N64" s="7">
        <f t="shared" si="28"/>
        <v>0</v>
      </c>
      <c r="O64" s="7">
        <f t="shared" si="28"/>
        <v>0</v>
      </c>
      <c r="P64" s="7">
        <f t="shared" si="28"/>
        <v>0</v>
      </c>
      <c r="Q64" s="7">
        <v>0</v>
      </c>
      <c r="R64" s="7">
        <f t="shared" si="28"/>
        <v>0</v>
      </c>
      <c r="S64" s="7">
        <f t="shared" si="28"/>
        <v>0</v>
      </c>
      <c r="T64" s="7">
        <f t="shared" si="28"/>
        <v>0</v>
      </c>
      <c r="U64" s="7">
        <f t="shared" si="28"/>
        <v>0</v>
      </c>
      <c r="V64" s="7">
        <f t="shared" si="28"/>
        <v>0</v>
      </c>
      <c r="W64" s="7">
        <f t="shared" si="28"/>
        <v>0</v>
      </c>
      <c r="X64" s="7">
        <v>0</v>
      </c>
    </row>
    <row r="65" spans="1:24" s="7" customFormat="1" x14ac:dyDescent="0.3">
      <c r="A65" s="7" t="s">
        <v>188</v>
      </c>
      <c r="B65" s="7">
        <f t="shared" si="27"/>
        <v>105.45399999999999</v>
      </c>
      <c r="C65" s="7">
        <f t="shared" si="27"/>
        <v>0</v>
      </c>
      <c r="D65" s="7">
        <f t="shared" si="27"/>
        <v>0</v>
      </c>
      <c r="E65" s="7">
        <f t="shared" si="27"/>
        <v>0</v>
      </c>
      <c r="F65" s="7">
        <f t="shared" si="27"/>
        <v>0</v>
      </c>
      <c r="G65" s="7">
        <f t="shared" si="27"/>
        <v>0</v>
      </c>
      <c r="H65" s="7">
        <f t="shared" si="27"/>
        <v>0</v>
      </c>
      <c r="I65" s="7">
        <f t="shared" si="27"/>
        <v>0</v>
      </c>
      <c r="J65" s="7">
        <f t="shared" si="27"/>
        <v>0</v>
      </c>
      <c r="K65" s="7">
        <f t="shared" si="27"/>
        <v>0</v>
      </c>
      <c r="L65" s="7">
        <f t="shared" si="27"/>
        <v>0</v>
      </c>
      <c r="M65" s="7">
        <f t="shared" si="28"/>
        <v>479249.75527171633</v>
      </c>
      <c r="N65" s="7">
        <f t="shared" si="28"/>
        <v>0</v>
      </c>
      <c r="O65" s="7">
        <f t="shared" si="28"/>
        <v>0</v>
      </c>
      <c r="P65" s="7">
        <f t="shared" si="28"/>
        <v>0</v>
      </c>
      <c r="Q65" s="7">
        <f t="shared" si="28"/>
        <v>0</v>
      </c>
      <c r="R65" s="7">
        <f t="shared" si="28"/>
        <v>0</v>
      </c>
      <c r="S65" s="7">
        <f t="shared" si="28"/>
        <v>0</v>
      </c>
      <c r="T65" s="7">
        <f t="shared" si="28"/>
        <v>0</v>
      </c>
      <c r="U65" s="7">
        <f t="shared" si="28"/>
        <v>0</v>
      </c>
      <c r="V65" s="7">
        <f t="shared" si="28"/>
        <v>0</v>
      </c>
      <c r="W65" s="7">
        <f t="shared" si="28"/>
        <v>0</v>
      </c>
      <c r="X65" s="7">
        <f t="shared" si="28"/>
        <v>0</v>
      </c>
    </row>
    <row r="66" spans="1:24" s="7" customFormat="1" x14ac:dyDescent="0.3">
      <c r="A66" s="7" t="s">
        <v>190</v>
      </c>
      <c r="B66" s="7">
        <f t="shared" si="27"/>
        <v>10.545399999999999</v>
      </c>
      <c r="C66" s="7">
        <f t="shared" si="27"/>
        <v>0</v>
      </c>
      <c r="D66" s="7">
        <f t="shared" si="27"/>
        <v>0</v>
      </c>
      <c r="E66" s="7">
        <f t="shared" si="27"/>
        <v>0</v>
      </c>
      <c r="F66" s="7">
        <f t="shared" si="27"/>
        <v>0</v>
      </c>
      <c r="G66" s="7">
        <f t="shared" si="27"/>
        <v>0</v>
      </c>
      <c r="H66" s="7">
        <f t="shared" si="27"/>
        <v>0</v>
      </c>
      <c r="I66" s="7">
        <f t="shared" si="27"/>
        <v>0</v>
      </c>
      <c r="J66" s="7">
        <f t="shared" si="27"/>
        <v>0</v>
      </c>
      <c r="K66" s="7">
        <f t="shared" si="27"/>
        <v>0</v>
      </c>
      <c r="L66" s="7">
        <f t="shared" si="27"/>
        <v>0</v>
      </c>
      <c r="M66" s="7">
        <f t="shared" si="28"/>
        <v>47924.975527171635</v>
      </c>
      <c r="N66" s="7">
        <f t="shared" si="28"/>
        <v>0</v>
      </c>
      <c r="O66" s="7">
        <f t="shared" si="28"/>
        <v>0</v>
      </c>
      <c r="P66" s="7">
        <f t="shared" si="28"/>
        <v>0</v>
      </c>
      <c r="Q66" s="7">
        <f t="shared" si="28"/>
        <v>0</v>
      </c>
      <c r="R66" s="7">
        <f t="shared" si="28"/>
        <v>0</v>
      </c>
      <c r="S66" s="7">
        <f t="shared" si="28"/>
        <v>0</v>
      </c>
      <c r="T66" s="7">
        <f t="shared" si="28"/>
        <v>0</v>
      </c>
      <c r="U66" s="7">
        <f t="shared" si="28"/>
        <v>0</v>
      </c>
      <c r="V66" s="7">
        <f t="shared" si="28"/>
        <v>0</v>
      </c>
      <c r="W66" s="7">
        <f t="shared" si="28"/>
        <v>0</v>
      </c>
      <c r="X66" s="7">
        <f t="shared" si="28"/>
        <v>0</v>
      </c>
    </row>
    <row r="67" spans="1:24" s="7" customFormat="1" x14ac:dyDescent="0.3">
      <c r="A67" s="7" t="s">
        <v>215</v>
      </c>
      <c r="B67" s="7">
        <v>237603</v>
      </c>
      <c r="C67" s="7">
        <v>5000</v>
      </c>
      <c r="D67" s="7">
        <v>0</v>
      </c>
      <c r="E67" s="7">
        <v>0</v>
      </c>
      <c r="F67" s="7">
        <v>505</v>
      </c>
      <c r="G67" s="7">
        <v>6818181.8181818174</v>
      </c>
      <c r="H67" s="7">
        <v>122139.731228668</v>
      </c>
      <c r="I67" s="7">
        <v>597915.70380333101</v>
      </c>
      <c r="J67" s="7">
        <v>0</v>
      </c>
      <c r="K67" s="7">
        <v>0</v>
      </c>
      <c r="L67" s="7">
        <v>0</v>
      </c>
      <c r="M67" s="7">
        <v>0</v>
      </c>
      <c r="N67" s="7">
        <v>45445023.683248714</v>
      </c>
      <c r="O67" s="7">
        <v>224000</v>
      </c>
      <c r="P67" s="7">
        <v>0</v>
      </c>
      <c r="Q67" s="7">
        <v>0</v>
      </c>
      <c r="R67" s="7">
        <v>0</v>
      </c>
      <c r="S67" s="7">
        <v>560</v>
      </c>
      <c r="T67" s="7">
        <v>210</v>
      </c>
      <c r="U67" s="7">
        <v>0</v>
      </c>
      <c r="V67" s="7">
        <v>180</v>
      </c>
      <c r="W67" s="7">
        <v>212000</v>
      </c>
      <c r="X67" s="7">
        <v>181600</v>
      </c>
    </row>
    <row r="68" spans="1:24" s="7" customFormat="1" x14ac:dyDescent="0.3">
      <c r="A68" s="7" t="s">
        <v>216</v>
      </c>
      <c r="B68" s="7">
        <f t="shared" ref="B68:L71" si="29">B67/10</f>
        <v>23760.3</v>
      </c>
      <c r="C68" s="7">
        <f t="shared" si="29"/>
        <v>500</v>
      </c>
      <c r="D68" s="7">
        <f t="shared" si="29"/>
        <v>0</v>
      </c>
      <c r="E68" s="7">
        <f t="shared" si="29"/>
        <v>0</v>
      </c>
      <c r="F68" s="7">
        <f t="shared" si="29"/>
        <v>50.5</v>
      </c>
      <c r="G68" s="7">
        <f t="shared" si="29"/>
        <v>681818.18181818177</v>
      </c>
      <c r="H68" s="7">
        <v>0</v>
      </c>
      <c r="I68" s="7">
        <f t="shared" si="29"/>
        <v>59791.570380333098</v>
      </c>
      <c r="J68" s="7">
        <f t="shared" si="29"/>
        <v>0</v>
      </c>
      <c r="K68" s="7">
        <f t="shared" si="29"/>
        <v>0</v>
      </c>
      <c r="L68" s="7">
        <f t="shared" si="29"/>
        <v>0</v>
      </c>
      <c r="M68" s="7">
        <f t="shared" ref="M68:X71" si="30">M67/10</f>
        <v>0</v>
      </c>
      <c r="N68" s="7">
        <f t="shared" si="30"/>
        <v>4544502.3683248712</v>
      </c>
      <c r="O68" s="7">
        <f t="shared" si="30"/>
        <v>22400</v>
      </c>
      <c r="P68" s="7">
        <f t="shared" si="30"/>
        <v>0</v>
      </c>
      <c r="Q68" s="7">
        <f t="shared" si="30"/>
        <v>0</v>
      </c>
      <c r="R68" s="7">
        <f t="shared" si="30"/>
        <v>0</v>
      </c>
      <c r="S68" s="7">
        <f t="shared" si="30"/>
        <v>56</v>
      </c>
      <c r="T68" s="7">
        <v>0</v>
      </c>
      <c r="U68" s="7">
        <f t="shared" si="30"/>
        <v>0</v>
      </c>
      <c r="V68" s="7">
        <v>0</v>
      </c>
      <c r="W68" s="7">
        <v>0</v>
      </c>
      <c r="X68" s="7">
        <f t="shared" si="30"/>
        <v>18160</v>
      </c>
    </row>
    <row r="69" spans="1:24" s="7" customFormat="1" x14ac:dyDescent="0.3">
      <c r="A69" s="7" t="s">
        <v>217</v>
      </c>
      <c r="B69" s="7">
        <f t="shared" si="29"/>
        <v>2376.0299999999997</v>
      </c>
      <c r="C69" s="7">
        <f t="shared" si="29"/>
        <v>50</v>
      </c>
      <c r="D69" s="7">
        <f t="shared" si="29"/>
        <v>0</v>
      </c>
      <c r="E69" s="7">
        <f t="shared" si="29"/>
        <v>0</v>
      </c>
      <c r="F69" s="7">
        <f t="shared" si="29"/>
        <v>5.05</v>
      </c>
      <c r="G69" s="7">
        <f t="shared" si="29"/>
        <v>68181.818181818177</v>
      </c>
      <c r="H69" s="7">
        <f t="shared" si="29"/>
        <v>0</v>
      </c>
      <c r="I69" s="7">
        <v>0</v>
      </c>
      <c r="J69" s="7">
        <f t="shared" si="29"/>
        <v>0</v>
      </c>
      <c r="K69" s="7">
        <f t="shared" si="29"/>
        <v>0</v>
      </c>
      <c r="L69" s="7">
        <f t="shared" si="29"/>
        <v>0</v>
      </c>
      <c r="M69" s="7">
        <f t="shared" si="30"/>
        <v>0</v>
      </c>
      <c r="N69" s="7">
        <f t="shared" si="30"/>
        <v>454450.23683248711</v>
      </c>
      <c r="O69" s="7">
        <v>0</v>
      </c>
      <c r="P69" s="7">
        <f t="shared" si="30"/>
        <v>0</v>
      </c>
      <c r="Q69" s="7">
        <f t="shared" si="30"/>
        <v>0</v>
      </c>
      <c r="R69" s="7">
        <f t="shared" si="30"/>
        <v>0</v>
      </c>
      <c r="S69" s="7">
        <v>0</v>
      </c>
      <c r="T69" s="7">
        <f t="shared" si="30"/>
        <v>0</v>
      </c>
      <c r="U69" s="7">
        <f t="shared" si="30"/>
        <v>0</v>
      </c>
      <c r="V69" s="7">
        <f t="shared" si="30"/>
        <v>0</v>
      </c>
      <c r="W69" s="7">
        <f t="shared" si="30"/>
        <v>0</v>
      </c>
      <c r="X69" s="7">
        <f t="shared" si="30"/>
        <v>1816</v>
      </c>
    </row>
    <row r="70" spans="1:24" s="7" customFormat="1" x14ac:dyDescent="0.3">
      <c r="A70" s="7" t="s">
        <v>218</v>
      </c>
      <c r="B70" s="7">
        <f t="shared" si="29"/>
        <v>237.60299999999998</v>
      </c>
      <c r="C70" s="7">
        <f t="shared" si="29"/>
        <v>5</v>
      </c>
      <c r="D70" s="7">
        <f t="shared" si="29"/>
        <v>0</v>
      </c>
      <c r="E70" s="7">
        <f t="shared" si="29"/>
        <v>0</v>
      </c>
      <c r="F70" s="7">
        <v>0</v>
      </c>
      <c r="G70" s="7">
        <f t="shared" si="29"/>
        <v>6818.181818181818</v>
      </c>
      <c r="H70" s="7">
        <f t="shared" si="29"/>
        <v>0</v>
      </c>
      <c r="I70" s="7">
        <f t="shared" si="29"/>
        <v>0</v>
      </c>
      <c r="J70" s="7">
        <f t="shared" si="29"/>
        <v>0</v>
      </c>
      <c r="K70" s="7">
        <f t="shared" si="29"/>
        <v>0</v>
      </c>
      <c r="L70" s="7">
        <f t="shared" si="29"/>
        <v>0</v>
      </c>
      <c r="M70" s="7">
        <f t="shared" si="30"/>
        <v>0</v>
      </c>
      <c r="N70" s="7">
        <f t="shared" si="30"/>
        <v>45445.023683248713</v>
      </c>
      <c r="O70" s="7">
        <f t="shared" si="30"/>
        <v>0</v>
      </c>
      <c r="P70" s="7">
        <f t="shared" si="30"/>
        <v>0</v>
      </c>
      <c r="Q70" s="7">
        <f t="shared" si="30"/>
        <v>0</v>
      </c>
      <c r="R70" s="7">
        <f t="shared" si="30"/>
        <v>0</v>
      </c>
      <c r="S70" s="7">
        <f t="shared" si="30"/>
        <v>0</v>
      </c>
      <c r="T70" s="7">
        <f t="shared" si="30"/>
        <v>0</v>
      </c>
      <c r="U70" s="7">
        <f t="shared" si="30"/>
        <v>0</v>
      </c>
      <c r="V70" s="7">
        <f t="shared" si="30"/>
        <v>0</v>
      </c>
      <c r="W70" s="7">
        <f t="shared" si="30"/>
        <v>0</v>
      </c>
      <c r="X70" s="7">
        <v>0</v>
      </c>
    </row>
    <row r="71" spans="1:24" s="7" customFormat="1" x14ac:dyDescent="0.3">
      <c r="A71" s="7" t="s">
        <v>219</v>
      </c>
      <c r="B71" s="7">
        <f t="shared" si="29"/>
        <v>23.760299999999997</v>
      </c>
      <c r="C71" s="7">
        <v>0</v>
      </c>
      <c r="D71" s="7">
        <f t="shared" si="29"/>
        <v>0</v>
      </c>
      <c r="E71" s="7">
        <f t="shared" si="29"/>
        <v>0</v>
      </c>
      <c r="F71" s="7">
        <f t="shared" si="29"/>
        <v>0</v>
      </c>
      <c r="G71" s="7">
        <f t="shared" si="29"/>
        <v>681.81818181818176</v>
      </c>
      <c r="H71" s="7">
        <f t="shared" si="29"/>
        <v>0</v>
      </c>
      <c r="I71" s="7">
        <f t="shared" si="29"/>
        <v>0</v>
      </c>
      <c r="J71" s="7">
        <f t="shared" si="29"/>
        <v>0</v>
      </c>
      <c r="K71" s="7">
        <f t="shared" si="29"/>
        <v>0</v>
      </c>
      <c r="L71" s="7">
        <f t="shared" si="29"/>
        <v>0</v>
      </c>
      <c r="M71" s="7">
        <f t="shared" si="30"/>
        <v>0</v>
      </c>
      <c r="N71" s="7">
        <f t="shared" si="30"/>
        <v>4544.502368324871</v>
      </c>
      <c r="O71" s="7">
        <f t="shared" si="30"/>
        <v>0</v>
      </c>
      <c r="P71" s="7">
        <f t="shared" si="30"/>
        <v>0</v>
      </c>
      <c r="Q71" s="7">
        <f t="shared" si="30"/>
        <v>0</v>
      </c>
      <c r="R71" s="7">
        <f t="shared" si="30"/>
        <v>0</v>
      </c>
      <c r="S71" s="7">
        <f t="shared" si="30"/>
        <v>0</v>
      </c>
      <c r="T71" s="7">
        <f t="shared" si="30"/>
        <v>0</v>
      </c>
      <c r="U71" s="7">
        <f t="shared" si="30"/>
        <v>0</v>
      </c>
      <c r="V71" s="7">
        <f t="shared" si="30"/>
        <v>0</v>
      </c>
      <c r="W71" s="7">
        <f t="shared" si="30"/>
        <v>0</v>
      </c>
      <c r="X71" s="7">
        <f t="shared" si="30"/>
        <v>0</v>
      </c>
    </row>
    <row r="72" spans="1:24" s="7" customFormat="1" x14ac:dyDescent="0.3">
      <c r="A72" s="7" t="s">
        <v>139</v>
      </c>
      <c r="B72" s="7">
        <v>200000</v>
      </c>
      <c r="C72" s="7">
        <v>9400</v>
      </c>
      <c r="D72" s="7">
        <v>0</v>
      </c>
      <c r="E72" s="7">
        <v>0</v>
      </c>
      <c r="F72" s="7">
        <v>35</v>
      </c>
      <c r="G72" s="7">
        <v>5800000</v>
      </c>
      <c r="H72" s="7">
        <v>5631135.2698009498</v>
      </c>
      <c r="I72" s="7">
        <v>0</v>
      </c>
      <c r="J72" s="7">
        <v>2006790.1467098286</v>
      </c>
      <c r="K72" s="7">
        <v>0</v>
      </c>
      <c r="L72" s="7">
        <v>0</v>
      </c>
      <c r="M72" s="7">
        <v>0</v>
      </c>
      <c r="N72" s="7">
        <v>35350147.255879134</v>
      </c>
      <c r="O72" s="7">
        <v>276000</v>
      </c>
      <c r="P72" s="7">
        <v>0</v>
      </c>
      <c r="Q72" s="7">
        <v>0</v>
      </c>
      <c r="R72" s="7">
        <v>0</v>
      </c>
      <c r="S72" s="7">
        <v>540</v>
      </c>
      <c r="T72" s="7">
        <v>320</v>
      </c>
      <c r="U72" s="7">
        <v>0</v>
      </c>
      <c r="V72" s="7">
        <v>240</v>
      </c>
      <c r="W72" s="7">
        <v>700000</v>
      </c>
      <c r="X72" s="7">
        <v>31600</v>
      </c>
    </row>
    <row r="73" spans="1:24" s="3" customFormat="1" x14ac:dyDescent="0.3">
      <c r="A73" s="7" t="s">
        <v>191</v>
      </c>
      <c r="B73" s="7">
        <f t="shared" ref="B73:L76" si="31">B72/10</f>
        <v>20000</v>
      </c>
      <c r="C73" s="7">
        <f t="shared" si="31"/>
        <v>940</v>
      </c>
      <c r="D73" s="7">
        <f t="shared" si="31"/>
        <v>0</v>
      </c>
      <c r="E73" s="7">
        <f t="shared" si="31"/>
        <v>0</v>
      </c>
      <c r="F73" s="7">
        <v>0</v>
      </c>
      <c r="G73" s="7">
        <f t="shared" si="31"/>
        <v>580000</v>
      </c>
      <c r="H73" s="7">
        <f t="shared" si="31"/>
        <v>563113.52698009496</v>
      </c>
      <c r="I73" s="7">
        <f t="shared" si="31"/>
        <v>0</v>
      </c>
      <c r="J73" s="7">
        <f t="shared" si="31"/>
        <v>200679.01467098287</v>
      </c>
      <c r="K73" s="7">
        <f t="shared" si="31"/>
        <v>0</v>
      </c>
      <c r="L73" s="7">
        <f t="shared" si="31"/>
        <v>0</v>
      </c>
      <c r="M73" s="7">
        <f t="shared" ref="M73:X76" si="32">M72/10</f>
        <v>0</v>
      </c>
      <c r="N73" s="7">
        <f t="shared" si="32"/>
        <v>3535014.7255879133</v>
      </c>
      <c r="O73" s="7">
        <f t="shared" si="32"/>
        <v>27600</v>
      </c>
      <c r="P73" s="7">
        <f t="shared" si="32"/>
        <v>0</v>
      </c>
      <c r="Q73" s="7">
        <f t="shared" si="32"/>
        <v>0</v>
      </c>
      <c r="R73" s="7">
        <f t="shared" si="32"/>
        <v>0</v>
      </c>
      <c r="S73" s="7">
        <f t="shared" si="32"/>
        <v>54</v>
      </c>
      <c r="T73" s="7">
        <v>0</v>
      </c>
      <c r="U73" s="7">
        <f t="shared" si="32"/>
        <v>0</v>
      </c>
      <c r="V73" s="7">
        <v>0</v>
      </c>
      <c r="W73" s="7">
        <f t="shared" si="32"/>
        <v>70000</v>
      </c>
      <c r="X73" s="7">
        <f t="shared" si="32"/>
        <v>3160</v>
      </c>
    </row>
    <row r="74" spans="1:24" s="3" customFormat="1" x14ac:dyDescent="0.3">
      <c r="A74" s="7" t="s">
        <v>192</v>
      </c>
      <c r="B74" s="7">
        <f t="shared" si="31"/>
        <v>2000</v>
      </c>
      <c r="C74" s="7">
        <f t="shared" si="31"/>
        <v>94</v>
      </c>
      <c r="D74" s="7">
        <f t="shared" si="31"/>
        <v>0</v>
      </c>
      <c r="E74" s="7">
        <f t="shared" si="31"/>
        <v>0</v>
      </c>
      <c r="F74" s="7">
        <f t="shared" si="31"/>
        <v>0</v>
      </c>
      <c r="G74" s="7">
        <f t="shared" si="31"/>
        <v>58000</v>
      </c>
      <c r="H74" s="7">
        <v>0</v>
      </c>
      <c r="I74" s="7">
        <f t="shared" si="31"/>
        <v>0</v>
      </c>
      <c r="J74" s="7">
        <v>0</v>
      </c>
      <c r="K74" s="7">
        <f t="shared" si="31"/>
        <v>0</v>
      </c>
      <c r="L74" s="7">
        <f t="shared" si="31"/>
        <v>0</v>
      </c>
      <c r="M74" s="7">
        <f t="shared" si="32"/>
        <v>0</v>
      </c>
      <c r="N74" s="7">
        <f t="shared" si="32"/>
        <v>353501.47255879134</v>
      </c>
      <c r="O74" s="7">
        <v>0</v>
      </c>
      <c r="P74" s="7">
        <f t="shared" si="32"/>
        <v>0</v>
      </c>
      <c r="Q74" s="7">
        <f t="shared" si="32"/>
        <v>0</v>
      </c>
      <c r="R74" s="7">
        <f t="shared" si="32"/>
        <v>0</v>
      </c>
      <c r="S74" s="7">
        <v>0</v>
      </c>
      <c r="T74" s="7">
        <f t="shared" si="32"/>
        <v>0</v>
      </c>
      <c r="U74" s="7">
        <f t="shared" si="32"/>
        <v>0</v>
      </c>
      <c r="V74" s="7">
        <f t="shared" si="32"/>
        <v>0</v>
      </c>
      <c r="W74" s="7">
        <v>0</v>
      </c>
      <c r="X74" s="7">
        <v>0</v>
      </c>
    </row>
    <row r="75" spans="1:24" s="3" customFormat="1" x14ac:dyDescent="0.3">
      <c r="A75" s="7" t="s">
        <v>193</v>
      </c>
      <c r="B75" s="7">
        <f t="shared" si="31"/>
        <v>200</v>
      </c>
      <c r="C75" s="7">
        <f t="shared" si="31"/>
        <v>9.4</v>
      </c>
      <c r="D75" s="7">
        <f t="shared" si="31"/>
        <v>0</v>
      </c>
      <c r="E75" s="7">
        <f t="shared" si="31"/>
        <v>0</v>
      </c>
      <c r="F75" s="7">
        <f t="shared" si="31"/>
        <v>0</v>
      </c>
      <c r="G75" s="7">
        <f t="shared" si="31"/>
        <v>5800</v>
      </c>
      <c r="H75" s="7">
        <f t="shared" si="31"/>
        <v>0</v>
      </c>
      <c r="I75" s="7">
        <f t="shared" si="31"/>
        <v>0</v>
      </c>
      <c r="J75" s="7">
        <f t="shared" si="31"/>
        <v>0</v>
      </c>
      <c r="K75" s="7">
        <f t="shared" si="31"/>
        <v>0</v>
      </c>
      <c r="L75" s="7">
        <f t="shared" si="31"/>
        <v>0</v>
      </c>
      <c r="M75" s="7">
        <f t="shared" si="32"/>
        <v>0</v>
      </c>
      <c r="N75" s="7">
        <f t="shared" si="32"/>
        <v>35350.147255879136</v>
      </c>
      <c r="O75" s="7">
        <f t="shared" si="32"/>
        <v>0</v>
      </c>
      <c r="P75" s="7">
        <f t="shared" si="32"/>
        <v>0</v>
      </c>
      <c r="Q75" s="7">
        <f t="shared" si="32"/>
        <v>0</v>
      </c>
      <c r="R75" s="7">
        <f t="shared" si="32"/>
        <v>0</v>
      </c>
      <c r="S75" s="7">
        <f t="shared" si="32"/>
        <v>0</v>
      </c>
      <c r="T75" s="7">
        <f t="shared" si="32"/>
        <v>0</v>
      </c>
      <c r="U75" s="7">
        <f t="shared" si="32"/>
        <v>0</v>
      </c>
      <c r="V75" s="7">
        <f t="shared" si="32"/>
        <v>0</v>
      </c>
      <c r="W75" s="7">
        <f t="shared" si="32"/>
        <v>0</v>
      </c>
      <c r="X75" s="7">
        <f t="shared" si="32"/>
        <v>0</v>
      </c>
    </row>
    <row r="76" spans="1:24" s="3" customFormat="1" x14ac:dyDescent="0.3">
      <c r="A76" s="7" t="s">
        <v>194</v>
      </c>
      <c r="B76" s="7">
        <f t="shared" si="31"/>
        <v>20</v>
      </c>
      <c r="C76" s="7">
        <v>0</v>
      </c>
      <c r="D76" s="7">
        <f t="shared" si="31"/>
        <v>0</v>
      </c>
      <c r="E76" s="7">
        <f t="shared" si="31"/>
        <v>0</v>
      </c>
      <c r="F76" s="7">
        <f t="shared" si="31"/>
        <v>0</v>
      </c>
      <c r="G76" s="7">
        <f t="shared" si="31"/>
        <v>580</v>
      </c>
      <c r="H76" s="7">
        <f t="shared" si="31"/>
        <v>0</v>
      </c>
      <c r="I76" s="7">
        <f t="shared" si="31"/>
        <v>0</v>
      </c>
      <c r="J76" s="7">
        <f t="shared" si="31"/>
        <v>0</v>
      </c>
      <c r="K76" s="7">
        <f t="shared" si="31"/>
        <v>0</v>
      </c>
      <c r="L76" s="7">
        <f t="shared" si="31"/>
        <v>0</v>
      </c>
      <c r="M76" s="7">
        <f t="shared" si="32"/>
        <v>0</v>
      </c>
      <c r="N76" s="7">
        <f t="shared" si="32"/>
        <v>3535.0147255879137</v>
      </c>
      <c r="O76" s="7">
        <f t="shared" si="32"/>
        <v>0</v>
      </c>
      <c r="P76" s="7">
        <f t="shared" si="32"/>
        <v>0</v>
      </c>
      <c r="Q76" s="7">
        <f t="shared" si="32"/>
        <v>0</v>
      </c>
      <c r="R76" s="7">
        <f t="shared" si="32"/>
        <v>0</v>
      </c>
      <c r="S76" s="7">
        <f t="shared" si="32"/>
        <v>0</v>
      </c>
      <c r="T76" s="7">
        <f t="shared" si="32"/>
        <v>0</v>
      </c>
      <c r="U76" s="7">
        <f t="shared" si="32"/>
        <v>0</v>
      </c>
      <c r="V76" s="7">
        <f t="shared" si="32"/>
        <v>0</v>
      </c>
      <c r="W76" s="7">
        <f t="shared" si="32"/>
        <v>0</v>
      </c>
      <c r="X76" s="7">
        <f t="shared" si="3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63E2F213-012E-474A-B7CD-82697A73EDA5}"/>
</file>

<file path=customXml/itemProps2.xml><?xml version="1.0" encoding="utf-8"?>
<ds:datastoreItem xmlns:ds="http://schemas.openxmlformats.org/officeDocument/2006/customXml" ds:itemID="{A44E289A-8C43-4EC4-8C16-8B5EDA886A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DBF1FE-DB9B-459C-BDD5-2D8374DA0E9C}">
  <ds:schemaRefs>
    <ds:schemaRef ds:uri="http://purl.org/dc/dcmitype/"/>
    <ds:schemaRef ds:uri="http://schemas.microsoft.com/office/2006/metadata/properties"/>
    <ds:schemaRef ds:uri="ecf971ba-3f1c-4a5f-b34e-6f95665ef865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299fb3f3-2056-4e94-a5ff-adb17f643d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10mL</vt:lpstr>
      <vt:lpstr>Random</vt:lpstr>
      <vt:lpstr>For training binary</vt:lpstr>
      <vt:lpstr>to_train_binary</vt:lpstr>
      <vt:lpstr>to_train</vt:lpstr>
      <vt:lpstr>For classifying</vt:lpstr>
      <vt:lpstr>for classifying dilutions</vt:lpstr>
      <vt:lpstr>to_classify</vt:lpstr>
      <vt:lpstr>to_classify_somcph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2025-05-06T08:23:30Z</dcterms:created>
  <dcterms:modified xsi:type="dcterms:W3CDTF">2025-05-06T10:24:14Z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  <property fmtid="{D5CDD505-2E9C-101B-9397-08002B2CF9AE}" pid="3" name="MediaServiceImageTags">
    <vt:lpwstr/>
  </property>
</Properties>
</file>