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r\Desktop\Pruebas Ichanea - copia\Module 1\"/>
    </mc:Choice>
  </mc:AlternateContent>
  <xr:revisionPtr revIDLastSave="0" documentId="13_ncr:1_{41D18D51-F2BA-4609-BAE8-45D89EA616D4}" xr6:coauthVersionLast="36" xr6:coauthVersionMax="36" xr10:uidLastSave="{00000000-0000-0000-0000-000000000000}"/>
  <bookViews>
    <workbookView xWindow="0" yWindow="0" windowWidth="23040" windowHeight="8484" xr2:uid="{3970BD3B-C21E-4A18-ABFA-5067168CAD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6" i="1" l="1"/>
  <c r="W75" i="1"/>
  <c r="W76" i="1" s="1"/>
  <c r="V75" i="1"/>
  <c r="V76" i="1" s="1"/>
  <c r="R75" i="1"/>
  <c r="R76" i="1" s="1"/>
  <c r="N75" i="1"/>
  <c r="N76" i="1" s="1"/>
  <c r="I75" i="1"/>
  <c r="I76" i="1" s="1"/>
  <c r="G75" i="1"/>
  <c r="G76" i="1" s="1"/>
  <c r="E75" i="1"/>
  <c r="E76" i="1" s="1"/>
  <c r="U74" i="1"/>
  <c r="U75" i="1" s="1"/>
  <c r="U76" i="1" s="1"/>
  <c r="S74" i="1"/>
  <c r="S75" i="1" s="1"/>
  <c r="S76" i="1" s="1"/>
  <c r="P74" i="1"/>
  <c r="P75" i="1" s="1"/>
  <c r="P76" i="1" s="1"/>
  <c r="L74" i="1"/>
  <c r="L75" i="1" s="1"/>
  <c r="L76" i="1" s="1"/>
  <c r="K74" i="1"/>
  <c r="K75" i="1" s="1"/>
  <c r="K76" i="1" s="1"/>
  <c r="H74" i="1"/>
  <c r="H75" i="1" s="1"/>
  <c r="E74" i="1"/>
  <c r="C74" i="1"/>
  <c r="C75" i="1" s="1"/>
  <c r="C76" i="1" s="1"/>
  <c r="W73" i="1"/>
  <c r="V73" i="1"/>
  <c r="T73" i="1"/>
  <c r="T74" i="1" s="1"/>
  <c r="T75" i="1" s="1"/>
  <c r="T76" i="1" s="1"/>
  <c r="R73" i="1"/>
  <c r="Q73" i="1"/>
  <c r="Q74" i="1" s="1"/>
  <c r="Q75" i="1" s="1"/>
  <c r="Q76" i="1" s="1"/>
  <c r="P73" i="1"/>
  <c r="O73" i="1"/>
  <c r="O74" i="1" s="1"/>
  <c r="O75" i="1" s="1"/>
  <c r="O76" i="1" s="1"/>
  <c r="N73" i="1"/>
  <c r="M73" i="1"/>
  <c r="M74" i="1" s="1"/>
  <c r="M75" i="1" s="1"/>
  <c r="M76" i="1" s="1"/>
  <c r="L73" i="1"/>
  <c r="K73" i="1"/>
  <c r="J73" i="1"/>
  <c r="J74" i="1" s="1"/>
  <c r="J75" i="1" s="1"/>
  <c r="J76" i="1" s="1"/>
  <c r="I73" i="1"/>
  <c r="H73" i="1"/>
  <c r="G73" i="1"/>
  <c r="F73" i="1"/>
  <c r="F74" i="1" s="1"/>
  <c r="F75" i="1" s="1"/>
  <c r="F76" i="1" s="1"/>
  <c r="D73" i="1"/>
  <c r="D74" i="1" s="1"/>
  <c r="D75" i="1" s="1"/>
  <c r="D76" i="1" s="1"/>
  <c r="C73" i="1"/>
  <c r="B73" i="1"/>
  <c r="B74" i="1" s="1"/>
  <c r="B75" i="1" s="1"/>
  <c r="W71" i="1"/>
  <c r="V71" i="1"/>
  <c r="J71" i="1"/>
  <c r="E71" i="1"/>
  <c r="V70" i="1"/>
  <c r="R70" i="1"/>
  <c r="R71" i="1" s="1"/>
  <c r="N70" i="1"/>
  <c r="N71" i="1" s="1"/>
  <c r="J70" i="1"/>
  <c r="H70" i="1"/>
  <c r="H71" i="1" s="1"/>
  <c r="G70" i="1"/>
  <c r="G71" i="1" s="1"/>
  <c r="W69" i="1"/>
  <c r="V69" i="1"/>
  <c r="U69" i="1"/>
  <c r="U70" i="1" s="1"/>
  <c r="U71" i="1" s="1"/>
  <c r="S69" i="1"/>
  <c r="S70" i="1" s="1"/>
  <c r="S71" i="1" s="1"/>
  <c r="M69" i="1"/>
  <c r="M70" i="1" s="1"/>
  <c r="M71" i="1" s="1"/>
  <c r="J69" i="1"/>
  <c r="I69" i="1"/>
  <c r="I70" i="1" s="1"/>
  <c r="I71" i="1" s="1"/>
  <c r="G69" i="1"/>
  <c r="E69" i="1"/>
  <c r="D69" i="1"/>
  <c r="D70" i="1" s="1"/>
  <c r="D71" i="1" s="1"/>
  <c r="W68" i="1"/>
  <c r="T68" i="1"/>
  <c r="T69" i="1" s="1"/>
  <c r="T70" i="1" s="1"/>
  <c r="T71" i="1" s="1"/>
  <c r="R68" i="1"/>
  <c r="Q68" i="1"/>
  <c r="Q69" i="1" s="1"/>
  <c r="Q70" i="1" s="1"/>
  <c r="Q71" i="1" s="1"/>
  <c r="P68" i="1"/>
  <c r="P69" i="1" s="1"/>
  <c r="P70" i="1" s="1"/>
  <c r="P71" i="1" s="1"/>
  <c r="O68" i="1"/>
  <c r="O69" i="1" s="1"/>
  <c r="O70" i="1" s="1"/>
  <c r="O71" i="1" s="1"/>
  <c r="N68" i="1"/>
  <c r="M68" i="1"/>
  <c r="L68" i="1"/>
  <c r="L69" i="1" s="1"/>
  <c r="L70" i="1" s="1"/>
  <c r="L71" i="1" s="1"/>
  <c r="K68" i="1"/>
  <c r="K69" i="1" s="1"/>
  <c r="K70" i="1" s="1"/>
  <c r="K71" i="1" s="1"/>
  <c r="J68" i="1"/>
  <c r="I68" i="1"/>
  <c r="H68" i="1"/>
  <c r="F68" i="1"/>
  <c r="F69" i="1" s="1"/>
  <c r="F70" i="1" s="1"/>
  <c r="F71" i="1" s="1"/>
  <c r="E68" i="1"/>
  <c r="D68" i="1"/>
  <c r="C68" i="1"/>
  <c r="C69" i="1" s="1"/>
  <c r="C70" i="1" s="1"/>
  <c r="C71" i="1" s="1"/>
  <c r="B68" i="1"/>
  <c r="B69" i="1" s="1"/>
  <c r="B70" i="1" s="1"/>
  <c r="P66" i="1"/>
  <c r="L66" i="1"/>
  <c r="H66" i="1"/>
  <c r="W65" i="1"/>
  <c r="W66" i="1" s="1"/>
  <c r="P65" i="1"/>
  <c r="J65" i="1"/>
  <c r="J66" i="1" s="1"/>
  <c r="S64" i="1"/>
  <c r="S65" i="1" s="1"/>
  <c r="S66" i="1" s="1"/>
  <c r="O64" i="1"/>
  <c r="O65" i="1" s="1"/>
  <c r="O66" i="1" s="1"/>
  <c r="N64" i="1"/>
  <c r="N65" i="1" s="1"/>
  <c r="N66" i="1" s="1"/>
  <c r="K64" i="1"/>
  <c r="K65" i="1" s="1"/>
  <c r="K66" i="1" s="1"/>
  <c r="J64" i="1"/>
  <c r="G64" i="1"/>
  <c r="G65" i="1" s="1"/>
  <c r="G66" i="1" s="1"/>
  <c r="F64" i="1"/>
  <c r="F65" i="1" s="1"/>
  <c r="F66" i="1" s="1"/>
  <c r="D64" i="1"/>
  <c r="D65" i="1" s="1"/>
  <c r="D66" i="1" s="1"/>
  <c r="B64" i="1"/>
  <c r="B65" i="1" s="1"/>
  <c r="B66" i="1" s="1"/>
  <c r="W63" i="1"/>
  <c r="V63" i="1"/>
  <c r="V64" i="1" s="1"/>
  <c r="V65" i="1" s="1"/>
  <c r="V66" i="1" s="1"/>
  <c r="U63" i="1"/>
  <c r="U64" i="1" s="1"/>
  <c r="U65" i="1" s="1"/>
  <c r="U66" i="1" s="1"/>
  <c r="T63" i="1"/>
  <c r="T64" i="1" s="1"/>
  <c r="T65" i="1" s="1"/>
  <c r="T66" i="1" s="1"/>
  <c r="S63" i="1"/>
  <c r="R63" i="1"/>
  <c r="R64" i="1" s="1"/>
  <c r="R65" i="1" s="1"/>
  <c r="R66" i="1" s="1"/>
  <c r="Q63" i="1"/>
  <c r="Q64" i="1" s="1"/>
  <c r="Q65" i="1" s="1"/>
  <c r="Q66" i="1" s="1"/>
  <c r="P63" i="1"/>
  <c r="O63" i="1"/>
  <c r="N63" i="1"/>
  <c r="M63" i="1"/>
  <c r="M64" i="1" s="1"/>
  <c r="M65" i="1" s="1"/>
  <c r="M66" i="1" s="1"/>
  <c r="L63" i="1"/>
  <c r="L64" i="1" s="1"/>
  <c r="L65" i="1" s="1"/>
  <c r="K63" i="1"/>
  <c r="J63" i="1"/>
  <c r="I63" i="1"/>
  <c r="I64" i="1" s="1"/>
  <c r="I65" i="1" s="1"/>
  <c r="I66" i="1" s="1"/>
  <c r="H63" i="1"/>
  <c r="H64" i="1" s="1"/>
  <c r="H65" i="1" s="1"/>
  <c r="G63" i="1"/>
  <c r="F63" i="1"/>
  <c r="E63" i="1"/>
  <c r="E64" i="1" s="1"/>
  <c r="E65" i="1" s="1"/>
  <c r="E66" i="1" s="1"/>
  <c r="C63" i="1"/>
  <c r="C64" i="1" s="1"/>
  <c r="C65" i="1" s="1"/>
  <c r="C66" i="1" s="1"/>
  <c r="B63" i="1"/>
  <c r="W61" i="1"/>
  <c r="M61" i="1"/>
  <c r="I61" i="1"/>
  <c r="G61" i="1"/>
  <c r="V60" i="1"/>
  <c r="V61" i="1" s="1"/>
  <c r="S60" i="1"/>
  <c r="S61" i="1" s="1"/>
  <c r="N60" i="1"/>
  <c r="N61" i="1" s="1"/>
  <c r="J60" i="1"/>
  <c r="J61" i="1" s="1"/>
  <c r="E60" i="1"/>
  <c r="E61" i="1" s="1"/>
  <c r="W59" i="1"/>
  <c r="U59" i="1"/>
  <c r="U60" i="1" s="1"/>
  <c r="U61" i="1" s="1"/>
  <c r="T59" i="1"/>
  <c r="T60" i="1" s="1"/>
  <c r="T61" i="1" s="1"/>
  <c r="R59" i="1"/>
  <c r="R60" i="1" s="1"/>
  <c r="R61" i="1" s="1"/>
  <c r="M59" i="1"/>
  <c r="M60" i="1" s="1"/>
  <c r="I59" i="1"/>
  <c r="I60" i="1" s="1"/>
  <c r="D59" i="1"/>
  <c r="D60" i="1" s="1"/>
  <c r="D61" i="1" s="1"/>
  <c r="W58" i="1"/>
  <c r="V58" i="1"/>
  <c r="V59" i="1" s="1"/>
  <c r="S58" i="1"/>
  <c r="Q58" i="1"/>
  <c r="Q59" i="1" s="1"/>
  <c r="Q60" i="1" s="1"/>
  <c r="Q61" i="1" s="1"/>
  <c r="P58" i="1"/>
  <c r="P59" i="1" s="1"/>
  <c r="P60" i="1" s="1"/>
  <c r="P61" i="1" s="1"/>
  <c r="O58" i="1"/>
  <c r="O59" i="1" s="1"/>
  <c r="O60" i="1" s="1"/>
  <c r="O61" i="1" s="1"/>
  <c r="N58" i="1"/>
  <c r="M58" i="1"/>
  <c r="L58" i="1"/>
  <c r="L59" i="1" s="1"/>
  <c r="L60" i="1" s="1"/>
  <c r="L61" i="1" s="1"/>
  <c r="K58" i="1"/>
  <c r="K59" i="1" s="1"/>
  <c r="K60" i="1" s="1"/>
  <c r="K61" i="1" s="1"/>
  <c r="J58" i="1"/>
  <c r="J59" i="1" s="1"/>
  <c r="I58" i="1"/>
  <c r="H58" i="1"/>
  <c r="H59" i="1" s="1"/>
  <c r="H60" i="1" s="1"/>
  <c r="H61" i="1" s="1"/>
  <c r="G58" i="1"/>
  <c r="G59" i="1" s="1"/>
  <c r="F58" i="1"/>
  <c r="F59" i="1" s="1"/>
  <c r="F60" i="1" s="1"/>
  <c r="F61" i="1" s="1"/>
  <c r="E58" i="1"/>
  <c r="D58" i="1"/>
  <c r="C58" i="1"/>
  <c r="C59" i="1" s="1"/>
  <c r="C60" i="1" s="1"/>
  <c r="C61" i="1" s="1"/>
  <c r="B58" i="1"/>
  <c r="B59" i="1" s="1"/>
  <c r="B60" i="1" s="1"/>
  <c r="B61" i="1" s="1"/>
  <c r="U56" i="1"/>
  <c r="G56" i="1"/>
  <c r="E56" i="1"/>
  <c r="B56" i="1"/>
  <c r="W55" i="1"/>
  <c r="W56" i="1" s="1"/>
  <c r="S55" i="1"/>
  <c r="S56" i="1" s="1"/>
  <c r="O55" i="1"/>
  <c r="O56" i="1" s="1"/>
  <c r="L55" i="1"/>
  <c r="L56" i="1" s="1"/>
  <c r="F55" i="1"/>
  <c r="F56" i="1" s="1"/>
  <c r="D55" i="1"/>
  <c r="D56" i="1" s="1"/>
  <c r="V54" i="1"/>
  <c r="V55" i="1" s="1"/>
  <c r="V56" i="1" s="1"/>
  <c r="U54" i="1"/>
  <c r="U55" i="1" s="1"/>
  <c r="R54" i="1"/>
  <c r="R55" i="1" s="1"/>
  <c r="R56" i="1" s="1"/>
  <c r="Q54" i="1"/>
  <c r="Q55" i="1" s="1"/>
  <c r="Q56" i="1" s="1"/>
  <c r="N54" i="1"/>
  <c r="N55" i="1" s="1"/>
  <c r="N56" i="1" s="1"/>
  <c r="M54" i="1"/>
  <c r="M55" i="1" s="1"/>
  <c r="M56" i="1" s="1"/>
  <c r="C54" i="1"/>
  <c r="C55" i="1" s="1"/>
  <c r="C56" i="1" s="1"/>
  <c r="W53" i="1"/>
  <c r="T53" i="1"/>
  <c r="T54" i="1" s="1"/>
  <c r="T55" i="1" s="1"/>
  <c r="T56" i="1" s="1"/>
  <c r="S53" i="1"/>
  <c r="P53" i="1"/>
  <c r="P54" i="1" s="1"/>
  <c r="P55" i="1" s="1"/>
  <c r="P56" i="1" s="1"/>
  <c r="O53" i="1"/>
  <c r="O54" i="1" s="1"/>
  <c r="M53" i="1"/>
  <c r="L53" i="1"/>
  <c r="K53" i="1"/>
  <c r="K54" i="1" s="1"/>
  <c r="K55" i="1" s="1"/>
  <c r="K56" i="1" s="1"/>
  <c r="J53" i="1"/>
  <c r="J54" i="1" s="1"/>
  <c r="J55" i="1" s="1"/>
  <c r="J56" i="1" s="1"/>
  <c r="I53" i="1"/>
  <c r="I54" i="1" s="1"/>
  <c r="I55" i="1" s="1"/>
  <c r="I56" i="1" s="1"/>
  <c r="H53" i="1"/>
  <c r="H54" i="1" s="1"/>
  <c r="H55" i="1" s="1"/>
  <c r="H56" i="1" s="1"/>
  <c r="G53" i="1"/>
  <c r="G54" i="1" s="1"/>
  <c r="F53" i="1"/>
  <c r="F54" i="1" s="1"/>
  <c r="E53" i="1"/>
  <c r="E54" i="1" s="1"/>
  <c r="E55" i="1" s="1"/>
  <c r="C53" i="1"/>
  <c r="B53" i="1"/>
  <c r="B54" i="1" s="1"/>
  <c r="H51" i="1"/>
  <c r="F51" i="1"/>
  <c r="W50" i="1"/>
  <c r="W51" i="1" s="1"/>
  <c r="U50" i="1"/>
  <c r="U51" i="1" s="1"/>
  <c r="J50" i="1"/>
  <c r="J51" i="1" s="1"/>
  <c r="I50" i="1"/>
  <c r="I51" i="1" s="1"/>
  <c r="G50" i="1"/>
  <c r="G51" i="1" s="1"/>
  <c r="U49" i="1"/>
  <c r="S49" i="1"/>
  <c r="S50" i="1" s="1"/>
  <c r="S51" i="1" s="1"/>
  <c r="R49" i="1"/>
  <c r="R50" i="1" s="1"/>
  <c r="R51" i="1" s="1"/>
  <c r="Q49" i="1"/>
  <c r="Q50" i="1" s="1"/>
  <c r="Q51" i="1" s="1"/>
  <c r="N49" i="1"/>
  <c r="N50" i="1" s="1"/>
  <c r="N51" i="1" s="1"/>
  <c r="M49" i="1"/>
  <c r="M50" i="1" s="1"/>
  <c r="I49" i="1"/>
  <c r="H49" i="1"/>
  <c r="H50" i="1" s="1"/>
  <c r="W48" i="1"/>
  <c r="V48" i="1"/>
  <c r="V49" i="1" s="1"/>
  <c r="V50" i="1" s="1"/>
  <c r="V51" i="1" s="1"/>
  <c r="U48" i="1"/>
  <c r="T48" i="1"/>
  <c r="T49" i="1" s="1"/>
  <c r="T50" i="1" s="1"/>
  <c r="T51" i="1" s="1"/>
  <c r="P48" i="1"/>
  <c r="P49" i="1" s="1"/>
  <c r="P50" i="1" s="1"/>
  <c r="P51" i="1" s="1"/>
  <c r="O48" i="1"/>
  <c r="O49" i="1" s="1"/>
  <c r="O50" i="1" s="1"/>
  <c r="O51" i="1" s="1"/>
  <c r="M48" i="1"/>
  <c r="L48" i="1"/>
  <c r="L49" i="1" s="1"/>
  <c r="L50" i="1" s="1"/>
  <c r="L51" i="1" s="1"/>
  <c r="K48" i="1"/>
  <c r="K49" i="1" s="1"/>
  <c r="K50" i="1" s="1"/>
  <c r="K51" i="1" s="1"/>
  <c r="J48" i="1"/>
  <c r="G48" i="1"/>
  <c r="F48" i="1"/>
  <c r="F49" i="1" s="1"/>
  <c r="E48" i="1"/>
  <c r="E49" i="1" s="1"/>
  <c r="E50" i="1" s="1"/>
  <c r="E51" i="1" s="1"/>
  <c r="D48" i="1"/>
  <c r="D49" i="1" s="1"/>
  <c r="D50" i="1" s="1"/>
  <c r="D51" i="1" s="1"/>
  <c r="C48" i="1"/>
  <c r="C49" i="1" s="1"/>
  <c r="C50" i="1" s="1"/>
  <c r="C51" i="1" s="1"/>
  <c r="B48" i="1"/>
  <c r="B49" i="1" s="1"/>
  <c r="B50" i="1" s="1"/>
  <c r="S46" i="1"/>
  <c r="B46" i="1"/>
  <c r="Q45" i="1"/>
  <c r="Q46" i="1" s="1"/>
  <c r="L45" i="1"/>
  <c r="L46" i="1" s="1"/>
  <c r="E45" i="1"/>
  <c r="E46" i="1" s="1"/>
  <c r="P44" i="1"/>
  <c r="P45" i="1" s="1"/>
  <c r="P46" i="1" s="1"/>
  <c r="L44" i="1"/>
  <c r="H44" i="1"/>
  <c r="H45" i="1" s="1"/>
  <c r="H46" i="1" s="1"/>
  <c r="D44" i="1"/>
  <c r="D45" i="1" s="1"/>
  <c r="D46" i="1" s="1"/>
  <c r="C44" i="1"/>
  <c r="C45" i="1" s="1"/>
  <c r="C46" i="1" s="1"/>
  <c r="W43" i="1"/>
  <c r="W44" i="1" s="1"/>
  <c r="W45" i="1" s="1"/>
  <c r="W46" i="1" s="1"/>
  <c r="V43" i="1"/>
  <c r="V44" i="1" s="1"/>
  <c r="V45" i="1" s="1"/>
  <c r="V46" i="1" s="1"/>
  <c r="U43" i="1"/>
  <c r="U44" i="1" s="1"/>
  <c r="U45" i="1" s="1"/>
  <c r="U46" i="1" s="1"/>
  <c r="T43" i="1"/>
  <c r="T44" i="1" s="1"/>
  <c r="T45" i="1" s="1"/>
  <c r="T46" i="1" s="1"/>
  <c r="S43" i="1"/>
  <c r="S44" i="1" s="1"/>
  <c r="S45" i="1" s="1"/>
  <c r="R43" i="1"/>
  <c r="R44" i="1" s="1"/>
  <c r="R45" i="1" s="1"/>
  <c r="R46" i="1" s="1"/>
  <c r="Q43" i="1"/>
  <c r="P43" i="1"/>
  <c r="O43" i="1"/>
  <c r="O44" i="1" s="1"/>
  <c r="O45" i="1" s="1"/>
  <c r="O46" i="1" s="1"/>
  <c r="N43" i="1"/>
  <c r="N44" i="1" s="1"/>
  <c r="N45" i="1" s="1"/>
  <c r="N46" i="1" s="1"/>
  <c r="M43" i="1"/>
  <c r="M44" i="1" s="1"/>
  <c r="M45" i="1" s="1"/>
  <c r="M46" i="1" s="1"/>
  <c r="L43" i="1"/>
  <c r="K43" i="1"/>
  <c r="K44" i="1" s="1"/>
  <c r="K45" i="1" s="1"/>
  <c r="K46" i="1" s="1"/>
  <c r="J43" i="1"/>
  <c r="J44" i="1" s="1"/>
  <c r="I43" i="1"/>
  <c r="I44" i="1" s="1"/>
  <c r="I45" i="1" s="1"/>
  <c r="I46" i="1" s="1"/>
  <c r="H43" i="1"/>
  <c r="G43" i="1"/>
  <c r="G44" i="1" s="1"/>
  <c r="G45" i="1" s="1"/>
  <c r="G46" i="1" s="1"/>
  <c r="F43" i="1"/>
  <c r="F44" i="1" s="1"/>
  <c r="F45" i="1" s="1"/>
  <c r="F46" i="1" s="1"/>
  <c r="E43" i="1"/>
  <c r="D43" i="1"/>
  <c r="C43" i="1"/>
  <c r="B43" i="1"/>
  <c r="B44" i="1" s="1"/>
  <c r="B45" i="1" s="1"/>
  <c r="W41" i="1"/>
  <c r="S41" i="1"/>
  <c r="O41" i="1"/>
  <c r="H41" i="1"/>
  <c r="Q40" i="1"/>
  <c r="Q41" i="1" s="1"/>
  <c r="G40" i="1"/>
  <c r="G41" i="1" s="1"/>
  <c r="V39" i="1"/>
  <c r="V40" i="1" s="1"/>
  <c r="V41" i="1" s="1"/>
  <c r="U39" i="1"/>
  <c r="U40" i="1" s="1"/>
  <c r="U41" i="1" s="1"/>
  <c r="R39" i="1"/>
  <c r="R40" i="1" s="1"/>
  <c r="R41" i="1" s="1"/>
  <c r="Q39" i="1"/>
  <c r="N39" i="1"/>
  <c r="N40" i="1" s="1"/>
  <c r="N41" i="1" s="1"/>
  <c r="M39" i="1"/>
  <c r="M40" i="1" s="1"/>
  <c r="M41" i="1" s="1"/>
  <c r="J39" i="1"/>
  <c r="J40" i="1" s="1"/>
  <c r="J41" i="1" s="1"/>
  <c r="I39" i="1"/>
  <c r="I40" i="1" s="1"/>
  <c r="I41" i="1" s="1"/>
  <c r="F39" i="1"/>
  <c r="F40" i="1" s="1"/>
  <c r="F41" i="1" s="1"/>
  <c r="E39" i="1"/>
  <c r="E40" i="1" s="1"/>
  <c r="E41" i="1" s="1"/>
  <c r="B39" i="1"/>
  <c r="B40" i="1" s="1"/>
  <c r="B41" i="1" s="1"/>
  <c r="W38" i="1"/>
  <c r="W39" i="1" s="1"/>
  <c r="W40" i="1" s="1"/>
  <c r="V38" i="1"/>
  <c r="U38" i="1"/>
  <c r="T38" i="1"/>
  <c r="T39" i="1" s="1"/>
  <c r="T40" i="1" s="1"/>
  <c r="T41" i="1" s="1"/>
  <c r="S38" i="1"/>
  <c r="S39" i="1" s="1"/>
  <c r="S40" i="1" s="1"/>
  <c r="R38" i="1"/>
  <c r="Q38" i="1"/>
  <c r="P38" i="1"/>
  <c r="P39" i="1" s="1"/>
  <c r="P40" i="1" s="1"/>
  <c r="P41" i="1" s="1"/>
  <c r="O38" i="1"/>
  <c r="O39" i="1" s="1"/>
  <c r="N38" i="1"/>
  <c r="M38" i="1"/>
  <c r="L38" i="1"/>
  <c r="L39" i="1" s="1"/>
  <c r="L40" i="1" s="1"/>
  <c r="L41" i="1" s="1"/>
  <c r="K38" i="1"/>
  <c r="K39" i="1" s="1"/>
  <c r="K40" i="1" s="1"/>
  <c r="K41" i="1" s="1"/>
  <c r="J38" i="1"/>
  <c r="I38" i="1"/>
  <c r="H38" i="1"/>
  <c r="H39" i="1" s="1"/>
  <c r="G38" i="1"/>
  <c r="G39" i="1" s="1"/>
  <c r="F38" i="1"/>
  <c r="E38" i="1"/>
  <c r="D38" i="1"/>
  <c r="D39" i="1" s="1"/>
  <c r="D40" i="1" s="1"/>
  <c r="D41" i="1" s="1"/>
  <c r="C38" i="1"/>
  <c r="C39" i="1" s="1"/>
  <c r="C40" i="1" s="1"/>
  <c r="C41" i="1" s="1"/>
  <c r="B38" i="1"/>
  <c r="U36" i="1"/>
  <c r="Q36" i="1"/>
  <c r="I36" i="1"/>
  <c r="D36" i="1"/>
  <c r="W35" i="1"/>
  <c r="W36" i="1" s="1"/>
  <c r="U35" i="1"/>
  <c r="Q35" i="1"/>
  <c r="P35" i="1"/>
  <c r="P36" i="1" s="1"/>
  <c r="N35" i="1"/>
  <c r="N36" i="1" s="1"/>
  <c r="J35" i="1"/>
  <c r="J36" i="1" s="1"/>
  <c r="F35" i="1"/>
  <c r="D35" i="1"/>
  <c r="S34" i="1"/>
  <c r="S35" i="1" s="1"/>
  <c r="S36" i="1" s="1"/>
  <c r="R34" i="1"/>
  <c r="R35" i="1" s="1"/>
  <c r="R36" i="1" s="1"/>
  <c r="N34" i="1"/>
  <c r="M34" i="1"/>
  <c r="M35" i="1" s="1"/>
  <c r="M36" i="1" s="1"/>
  <c r="L34" i="1"/>
  <c r="L35" i="1" s="1"/>
  <c r="L36" i="1" s="1"/>
  <c r="I34" i="1"/>
  <c r="I35" i="1" s="1"/>
  <c r="H34" i="1"/>
  <c r="H35" i="1" s="1"/>
  <c r="H36" i="1" s="1"/>
  <c r="E34" i="1"/>
  <c r="E35" i="1" s="1"/>
  <c r="E36" i="1" s="1"/>
  <c r="C34" i="1"/>
  <c r="C35" i="1" s="1"/>
  <c r="C36" i="1" s="1"/>
  <c r="W33" i="1"/>
  <c r="V33" i="1"/>
  <c r="V34" i="1" s="1"/>
  <c r="V35" i="1" s="1"/>
  <c r="V36" i="1" s="1"/>
  <c r="T33" i="1"/>
  <c r="T34" i="1" s="1"/>
  <c r="T35" i="1" s="1"/>
  <c r="T36" i="1" s="1"/>
  <c r="S33" i="1"/>
  <c r="R33" i="1"/>
  <c r="Q33" i="1"/>
  <c r="P33" i="1"/>
  <c r="O33" i="1"/>
  <c r="O34" i="1" s="1"/>
  <c r="O35" i="1" s="1"/>
  <c r="O36" i="1" s="1"/>
  <c r="L33" i="1"/>
  <c r="K33" i="1"/>
  <c r="K34" i="1" s="1"/>
  <c r="K35" i="1" s="1"/>
  <c r="K36" i="1" s="1"/>
  <c r="J33" i="1"/>
  <c r="J34" i="1" s="1"/>
  <c r="I33" i="1"/>
  <c r="H33" i="1"/>
  <c r="G33" i="1"/>
  <c r="G34" i="1" s="1"/>
  <c r="G35" i="1" s="1"/>
  <c r="G36" i="1" s="1"/>
  <c r="F33" i="1"/>
  <c r="F34" i="1" s="1"/>
  <c r="E33" i="1"/>
  <c r="D33" i="1"/>
  <c r="C33" i="1"/>
  <c r="B33" i="1"/>
  <c r="B34" i="1" s="1"/>
  <c r="B35" i="1" s="1"/>
  <c r="B36" i="1" s="1"/>
  <c r="M31" i="1"/>
  <c r="I31" i="1"/>
  <c r="G31" i="1"/>
  <c r="D31" i="1"/>
  <c r="V30" i="1"/>
  <c r="V31" i="1" s="1"/>
  <c r="R30" i="1"/>
  <c r="R31" i="1" s="1"/>
  <c r="O30" i="1"/>
  <c r="O31" i="1" s="1"/>
  <c r="N30" i="1"/>
  <c r="N31" i="1" s="1"/>
  <c r="E30" i="1"/>
  <c r="E31" i="1" s="1"/>
  <c r="W29" i="1"/>
  <c r="W30" i="1" s="1"/>
  <c r="W31" i="1" s="1"/>
  <c r="S29" i="1"/>
  <c r="S30" i="1" s="1"/>
  <c r="S31" i="1" s="1"/>
  <c r="P29" i="1"/>
  <c r="P30" i="1" s="1"/>
  <c r="P31" i="1" s="1"/>
  <c r="N29" i="1"/>
  <c r="J29" i="1"/>
  <c r="J30" i="1" s="1"/>
  <c r="J31" i="1" s="1"/>
  <c r="H29" i="1"/>
  <c r="H30" i="1" s="1"/>
  <c r="H31" i="1" s="1"/>
  <c r="W28" i="1"/>
  <c r="V28" i="1"/>
  <c r="V29" i="1" s="1"/>
  <c r="U28" i="1"/>
  <c r="U29" i="1" s="1"/>
  <c r="U30" i="1" s="1"/>
  <c r="U31" i="1" s="1"/>
  <c r="T28" i="1"/>
  <c r="T29" i="1" s="1"/>
  <c r="T30" i="1" s="1"/>
  <c r="T31" i="1" s="1"/>
  <c r="S28" i="1"/>
  <c r="R28" i="1"/>
  <c r="R29" i="1" s="1"/>
  <c r="Q28" i="1"/>
  <c r="Q29" i="1" s="1"/>
  <c r="Q30" i="1" s="1"/>
  <c r="Q31" i="1" s="1"/>
  <c r="O28" i="1"/>
  <c r="N28" i="1"/>
  <c r="M28" i="1"/>
  <c r="M29" i="1" s="1"/>
  <c r="M30" i="1" s="1"/>
  <c r="L28" i="1"/>
  <c r="L29" i="1" s="1"/>
  <c r="L30" i="1" s="1"/>
  <c r="L31" i="1" s="1"/>
  <c r="K28" i="1"/>
  <c r="K29" i="1" s="1"/>
  <c r="K30" i="1" s="1"/>
  <c r="K31" i="1" s="1"/>
  <c r="J28" i="1"/>
  <c r="I28" i="1"/>
  <c r="I29" i="1" s="1"/>
  <c r="I30" i="1" s="1"/>
  <c r="G28" i="1"/>
  <c r="G29" i="1" s="1"/>
  <c r="F28" i="1"/>
  <c r="F29" i="1" s="1"/>
  <c r="F30" i="1" s="1"/>
  <c r="F31" i="1" s="1"/>
  <c r="E28" i="1"/>
  <c r="E29" i="1" s="1"/>
  <c r="D28" i="1"/>
  <c r="D29" i="1" s="1"/>
  <c r="D30" i="1" s="1"/>
  <c r="C28" i="1"/>
  <c r="C29" i="1" s="1"/>
  <c r="C30" i="1" s="1"/>
  <c r="C31" i="1" s="1"/>
  <c r="B28" i="1"/>
  <c r="B29" i="1" s="1"/>
  <c r="B30" i="1" s="1"/>
  <c r="B31" i="1" s="1"/>
  <c r="W26" i="1"/>
  <c r="T26" i="1"/>
  <c r="L26" i="1"/>
  <c r="G26" i="1"/>
  <c r="E26" i="1"/>
  <c r="V25" i="1"/>
  <c r="V26" i="1" s="1"/>
  <c r="R25" i="1"/>
  <c r="R26" i="1" s="1"/>
  <c r="Q25" i="1"/>
  <c r="Q26" i="1" s="1"/>
  <c r="N25" i="1"/>
  <c r="N26" i="1" s="1"/>
  <c r="L25" i="1"/>
  <c r="I25" i="1"/>
  <c r="I26" i="1" s="1"/>
  <c r="E25" i="1"/>
  <c r="D25" i="1"/>
  <c r="D26" i="1" s="1"/>
  <c r="B25" i="1"/>
  <c r="B26" i="1" s="1"/>
  <c r="W24" i="1"/>
  <c r="V24" i="1"/>
  <c r="R24" i="1"/>
  <c r="Q24" i="1"/>
  <c r="M24" i="1"/>
  <c r="M25" i="1" s="1"/>
  <c r="M26" i="1" s="1"/>
  <c r="I24" i="1"/>
  <c r="H24" i="1"/>
  <c r="H25" i="1" s="1"/>
  <c r="H26" i="1" s="1"/>
  <c r="D24" i="1"/>
  <c r="C24" i="1"/>
  <c r="C25" i="1" s="1"/>
  <c r="C26" i="1" s="1"/>
  <c r="W23" i="1"/>
  <c r="U23" i="1"/>
  <c r="U24" i="1" s="1"/>
  <c r="U25" i="1" s="1"/>
  <c r="U26" i="1" s="1"/>
  <c r="T23" i="1"/>
  <c r="T24" i="1" s="1"/>
  <c r="T25" i="1" s="1"/>
  <c r="S23" i="1"/>
  <c r="S24" i="1" s="1"/>
  <c r="S25" i="1" s="1"/>
  <c r="S26" i="1" s="1"/>
  <c r="R23" i="1"/>
  <c r="P23" i="1"/>
  <c r="P24" i="1" s="1"/>
  <c r="P25" i="1" s="1"/>
  <c r="P26" i="1" s="1"/>
  <c r="O23" i="1"/>
  <c r="O24" i="1" s="1"/>
  <c r="O25" i="1" s="1"/>
  <c r="O26" i="1" s="1"/>
  <c r="N23" i="1"/>
  <c r="M23" i="1"/>
  <c r="L23" i="1"/>
  <c r="K23" i="1"/>
  <c r="K24" i="1" s="1"/>
  <c r="K25" i="1" s="1"/>
  <c r="K26" i="1" s="1"/>
  <c r="J23" i="1"/>
  <c r="J24" i="1" s="1"/>
  <c r="J25" i="1" s="1"/>
  <c r="J26" i="1" s="1"/>
  <c r="I23" i="1"/>
  <c r="H23" i="1"/>
  <c r="G23" i="1"/>
  <c r="G24" i="1" s="1"/>
  <c r="F23" i="1"/>
  <c r="F24" i="1" s="1"/>
  <c r="F25" i="1" s="1"/>
  <c r="F26" i="1" s="1"/>
  <c r="E23" i="1"/>
  <c r="D23" i="1"/>
  <c r="C23" i="1"/>
  <c r="P21" i="1"/>
  <c r="H21" i="1"/>
  <c r="C21" i="1"/>
  <c r="S20" i="1"/>
  <c r="S21" i="1" s="1"/>
  <c r="C20" i="1"/>
  <c r="U19" i="1"/>
  <c r="U20" i="1" s="1"/>
  <c r="U21" i="1" s="1"/>
  <c r="R19" i="1"/>
  <c r="R20" i="1" s="1"/>
  <c r="R21" i="1" s="1"/>
  <c r="N19" i="1"/>
  <c r="N20" i="1" s="1"/>
  <c r="N21" i="1" s="1"/>
  <c r="L19" i="1"/>
  <c r="L20" i="1" s="1"/>
  <c r="L21" i="1" s="1"/>
  <c r="I19" i="1"/>
  <c r="I20" i="1" s="1"/>
  <c r="I21" i="1" s="1"/>
  <c r="H19" i="1"/>
  <c r="F19" i="1"/>
  <c r="F20" i="1" s="1"/>
  <c r="F21" i="1" s="1"/>
  <c r="D19" i="1"/>
  <c r="D20" i="1" s="1"/>
  <c r="D21" i="1" s="1"/>
  <c r="B19" i="1"/>
  <c r="B20" i="1" s="1"/>
  <c r="B21" i="1" s="1"/>
  <c r="W18" i="1"/>
  <c r="W19" i="1" s="1"/>
  <c r="W20" i="1" s="1"/>
  <c r="W21" i="1" s="1"/>
  <c r="V18" i="1"/>
  <c r="V19" i="1" s="1"/>
  <c r="V20" i="1" s="1"/>
  <c r="V21" i="1" s="1"/>
  <c r="T18" i="1"/>
  <c r="T19" i="1" s="1"/>
  <c r="T20" i="1" s="1"/>
  <c r="T21" i="1" s="1"/>
  <c r="S18" i="1"/>
  <c r="Q18" i="1"/>
  <c r="Q19" i="1" s="1"/>
  <c r="Q20" i="1" s="1"/>
  <c r="Q21" i="1" s="1"/>
  <c r="P18" i="1"/>
  <c r="P19" i="1" s="1"/>
  <c r="O18" i="1"/>
  <c r="O19" i="1" s="1"/>
  <c r="O20" i="1" s="1"/>
  <c r="O21" i="1" s="1"/>
  <c r="N18" i="1"/>
  <c r="M18" i="1"/>
  <c r="M19" i="1" s="1"/>
  <c r="M20" i="1" s="1"/>
  <c r="M21" i="1" s="1"/>
  <c r="L18" i="1"/>
  <c r="K18" i="1"/>
  <c r="K19" i="1" s="1"/>
  <c r="K20" i="1" s="1"/>
  <c r="K21" i="1" s="1"/>
  <c r="J18" i="1"/>
  <c r="J19" i="1" s="1"/>
  <c r="J20" i="1" s="1"/>
  <c r="J21" i="1" s="1"/>
  <c r="I18" i="1"/>
  <c r="H18" i="1"/>
  <c r="G18" i="1"/>
  <c r="G19" i="1" s="1"/>
  <c r="G20" i="1" s="1"/>
  <c r="G21" i="1" s="1"/>
  <c r="E18" i="1"/>
  <c r="E19" i="1" s="1"/>
  <c r="E20" i="1" s="1"/>
  <c r="E21" i="1" s="1"/>
  <c r="D18" i="1"/>
  <c r="C18" i="1"/>
  <c r="C19" i="1" s="1"/>
  <c r="B18" i="1"/>
  <c r="Q16" i="1"/>
  <c r="N16" i="1"/>
  <c r="J16" i="1"/>
  <c r="F16" i="1"/>
  <c r="E16" i="1"/>
  <c r="O15" i="1"/>
  <c r="O16" i="1" s="1"/>
  <c r="E15" i="1"/>
  <c r="O14" i="1"/>
  <c r="M14" i="1"/>
  <c r="M15" i="1" s="1"/>
  <c r="K14" i="1"/>
  <c r="K15" i="1" s="1"/>
  <c r="K16" i="1" s="1"/>
  <c r="I14" i="1"/>
  <c r="I15" i="1" s="1"/>
  <c r="I16" i="1" s="1"/>
  <c r="G14" i="1"/>
  <c r="G15" i="1" s="1"/>
  <c r="G16" i="1" s="1"/>
  <c r="D14" i="1"/>
  <c r="D15" i="1" s="1"/>
  <c r="D16" i="1" s="1"/>
  <c r="C14" i="1"/>
  <c r="C15" i="1" s="1"/>
  <c r="C16" i="1" s="1"/>
  <c r="W13" i="1"/>
  <c r="W14" i="1" s="1"/>
  <c r="W15" i="1" s="1"/>
  <c r="W16" i="1" s="1"/>
  <c r="V13" i="1"/>
  <c r="V14" i="1" s="1"/>
  <c r="V15" i="1" s="1"/>
  <c r="V16" i="1" s="1"/>
  <c r="U13" i="1"/>
  <c r="U14" i="1" s="1"/>
  <c r="U15" i="1" s="1"/>
  <c r="U16" i="1" s="1"/>
  <c r="T13" i="1"/>
  <c r="T14" i="1" s="1"/>
  <c r="T15" i="1" s="1"/>
  <c r="T16" i="1" s="1"/>
  <c r="S13" i="1"/>
  <c r="S14" i="1" s="1"/>
  <c r="S15" i="1" s="1"/>
  <c r="S16" i="1" s="1"/>
  <c r="R13" i="1"/>
  <c r="R14" i="1" s="1"/>
  <c r="R15" i="1" s="1"/>
  <c r="R16" i="1" s="1"/>
  <c r="Q13" i="1"/>
  <c r="P13" i="1"/>
  <c r="P14" i="1" s="1"/>
  <c r="P15" i="1" s="1"/>
  <c r="P16" i="1" s="1"/>
  <c r="O13" i="1"/>
  <c r="N13" i="1"/>
  <c r="N14" i="1" s="1"/>
  <c r="M13" i="1"/>
  <c r="L13" i="1"/>
  <c r="L14" i="1" s="1"/>
  <c r="L15" i="1" s="1"/>
  <c r="L16" i="1" s="1"/>
  <c r="K13" i="1"/>
  <c r="J13" i="1"/>
  <c r="J14" i="1" s="1"/>
  <c r="I13" i="1"/>
  <c r="H13" i="1"/>
  <c r="H14" i="1" s="1"/>
  <c r="H15" i="1" s="1"/>
  <c r="H16" i="1" s="1"/>
  <c r="G13" i="1"/>
  <c r="F13" i="1"/>
  <c r="F14" i="1" s="1"/>
  <c r="E13" i="1"/>
  <c r="D13" i="1"/>
  <c r="C13" i="1"/>
  <c r="B13" i="1"/>
  <c r="B14" i="1" s="1"/>
  <c r="B15" i="1" s="1"/>
  <c r="B16" i="1" s="1"/>
  <c r="W11" i="1"/>
  <c r="P11" i="1"/>
  <c r="M11" i="1"/>
  <c r="F11" i="1"/>
  <c r="V10" i="1"/>
  <c r="V11" i="1" s="1"/>
  <c r="R10" i="1"/>
  <c r="R11" i="1" s="1"/>
  <c r="E10" i="1"/>
  <c r="E11" i="1" s="1"/>
  <c r="W9" i="1"/>
  <c r="V9" i="1"/>
  <c r="U9" i="1"/>
  <c r="U10" i="1" s="1"/>
  <c r="U11" i="1" s="1"/>
  <c r="S9" i="1"/>
  <c r="S10" i="1" s="1"/>
  <c r="S11" i="1" s="1"/>
  <c r="R9" i="1"/>
  <c r="Q9" i="1"/>
  <c r="Q10" i="1" s="1"/>
  <c r="Q11" i="1" s="1"/>
  <c r="O9" i="1"/>
  <c r="O10" i="1" s="1"/>
  <c r="O11" i="1" s="1"/>
  <c r="M9" i="1"/>
  <c r="K9" i="1"/>
  <c r="K10" i="1" s="1"/>
  <c r="K11" i="1" s="1"/>
  <c r="I9" i="1"/>
  <c r="I10" i="1" s="1"/>
  <c r="I11" i="1" s="1"/>
  <c r="G9" i="1"/>
  <c r="G10" i="1" s="1"/>
  <c r="G11" i="1" s="1"/>
  <c r="E9" i="1"/>
  <c r="C9" i="1"/>
  <c r="C10" i="1" s="1"/>
  <c r="C11" i="1" s="1"/>
  <c r="W8" i="1"/>
  <c r="V8" i="1"/>
  <c r="T8" i="1"/>
  <c r="T9" i="1" s="1"/>
  <c r="T10" i="1" s="1"/>
  <c r="T11" i="1" s="1"/>
  <c r="Q8" i="1"/>
  <c r="P8" i="1"/>
  <c r="P9" i="1" s="1"/>
  <c r="O8" i="1"/>
  <c r="N8" i="1"/>
  <c r="N9" i="1" s="1"/>
  <c r="N10" i="1" s="1"/>
  <c r="N11" i="1" s="1"/>
  <c r="M8" i="1"/>
  <c r="L8" i="1"/>
  <c r="L9" i="1" s="1"/>
  <c r="L10" i="1" s="1"/>
  <c r="L11" i="1" s="1"/>
  <c r="K8" i="1"/>
  <c r="J8" i="1"/>
  <c r="J9" i="1" s="1"/>
  <c r="J10" i="1" s="1"/>
  <c r="J11" i="1" s="1"/>
  <c r="I8" i="1"/>
  <c r="H8" i="1"/>
  <c r="H9" i="1" s="1"/>
  <c r="H10" i="1" s="1"/>
  <c r="H11" i="1" s="1"/>
  <c r="G8" i="1"/>
  <c r="F8" i="1"/>
  <c r="F9" i="1" s="1"/>
  <c r="E8" i="1"/>
  <c r="D8" i="1"/>
  <c r="D9" i="1" s="1"/>
  <c r="D10" i="1" s="1"/>
  <c r="C8" i="1"/>
  <c r="B8" i="1"/>
  <c r="B9" i="1" s="1"/>
  <c r="B10" i="1" s="1"/>
  <c r="B11" i="1" s="1"/>
  <c r="W6" i="1"/>
  <c r="N6" i="1"/>
  <c r="G6" i="1"/>
  <c r="F6" i="1"/>
  <c r="D6" i="1"/>
  <c r="B6" i="1"/>
  <c r="U5" i="1"/>
  <c r="U6" i="1" s="1"/>
  <c r="S5" i="1"/>
  <c r="S6" i="1" s="1"/>
  <c r="N5" i="1"/>
  <c r="V4" i="1"/>
  <c r="V5" i="1" s="1"/>
  <c r="V6" i="1" s="1"/>
  <c r="U4" i="1"/>
  <c r="R4" i="1"/>
  <c r="R5" i="1" s="1"/>
  <c r="R6" i="1" s="1"/>
  <c r="M4" i="1"/>
  <c r="M5" i="1" s="1"/>
  <c r="M6" i="1" s="1"/>
  <c r="K4" i="1"/>
  <c r="K5" i="1" s="1"/>
  <c r="K6" i="1" s="1"/>
  <c r="I4" i="1"/>
  <c r="I5" i="1" s="1"/>
  <c r="I6" i="1" s="1"/>
  <c r="G4" i="1"/>
  <c r="E4" i="1"/>
  <c r="E5" i="1" s="1"/>
  <c r="E6" i="1" s="1"/>
  <c r="W3" i="1"/>
  <c r="W4" i="1" s="1"/>
  <c r="T3" i="1"/>
  <c r="T4" i="1" s="1"/>
  <c r="T5" i="1" s="1"/>
  <c r="T6" i="1" s="1"/>
  <c r="S3" i="1"/>
  <c r="Q3" i="1"/>
  <c r="Q4" i="1" s="1"/>
  <c r="Q5" i="1" s="1"/>
  <c r="Q6" i="1" s="1"/>
  <c r="P3" i="1"/>
  <c r="P4" i="1" s="1"/>
  <c r="P5" i="1" s="1"/>
  <c r="P6" i="1" s="1"/>
  <c r="O3" i="1"/>
  <c r="O4" i="1" s="1"/>
  <c r="O5" i="1" s="1"/>
  <c r="O6" i="1" s="1"/>
  <c r="N3" i="1"/>
  <c r="M3" i="1"/>
  <c r="L3" i="1"/>
  <c r="L4" i="1" s="1"/>
  <c r="L5" i="1" s="1"/>
  <c r="L6" i="1" s="1"/>
  <c r="K3" i="1"/>
  <c r="J3" i="1"/>
  <c r="J4" i="1" s="1"/>
  <c r="J5" i="1" s="1"/>
  <c r="J6" i="1" s="1"/>
  <c r="I3" i="1"/>
  <c r="H3" i="1"/>
  <c r="H4" i="1" s="1"/>
  <c r="H5" i="1" s="1"/>
  <c r="H6" i="1" s="1"/>
  <c r="G3" i="1"/>
  <c r="F3" i="1"/>
  <c r="F4" i="1" s="1"/>
  <c r="D3" i="1"/>
  <c r="D4" i="1" s="1"/>
  <c r="C3" i="1"/>
  <c r="C4" i="1" s="1"/>
  <c r="C5" i="1" s="1"/>
  <c r="C6" i="1" s="1"/>
  <c r="B3" i="1"/>
  <c r="B4" i="1" s="1"/>
</calcChain>
</file>

<file path=xl/sharedStrings.xml><?xml version="1.0" encoding="utf-8"?>
<sst xmlns="http://schemas.openxmlformats.org/spreadsheetml/2006/main" count="98" uniqueCount="98">
  <si>
    <t>ID</t>
  </si>
  <si>
    <t>HMBactPhg</t>
  </si>
  <si>
    <t>CWBactPhg</t>
  </si>
  <si>
    <t>PGBactPhg</t>
  </si>
  <si>
    <t>PLBactPhg</t>
  </si>
  <si>
    <t>BifSorb</t>
  </si>
  <si>
    <t>HMBif</t>
  </si>
  <si>
    <t>CWBif</t>
  </si>
  <si>
    <t>PGNeo</t>
  </si>
  <si>
    <t>PLBif</t>
  </si>
  <si>
    <t>BacR</t>
  </si>
  <si>
    <t>Pig2Bac</t>
  </si>
  <si>
    <t>HF183TaqMan</t>
  </si>
  <si>
    <t>HMMit</t>
  </si>
  <si>
    <t>CWMit</t>
  </si>
  <si>
    <t>PGMit</t>
  </si>
  <si>
    <t>PLMit</t>
  </si>
  <si>
    <t>Acesulfame</t>
  </si>
  <si>
    <t>Cyclamate</t>
  </si>
  <si>
    <t xml:space="preserve">Saccharain </t>
  </si>
  <si>
    <t>Sucralose</t>
  </si>
  <si>
    <t>Adeno</t>
  </si>
  <si>
    <t>NoV</t>
  </si>
  <si>
    <t>E04HM_F</t>
  </si>
  <si>
    <t>E04HM_F_0.1</t>
  </si>
  <si>
    <t>E04HM_F_0.01</t>
  </si>
  <si>
    <t>E04HM_F_0.001</t>
  </si>
  <si>
    <t>E04HM_F_0.0001</t>
  </si>
  <si>
    <t>E10PG_W</t>
  </si>
  <si>
    <t>E10PG_W_0.1</t>
  </si>
  <si>
    <t>E10PG_W_0.01</t>
  </si>
  <si>
    <t>E10PG_W_0.001</t>
  </si>
  <si>
    <t>E10PG_W_0.0001</t>
  </si>
  <si>
    <t>E22PL_S</t>
  </si>
  <si>
    <t>E22PL_S_0.1</t>
  </si>
  <si>
    <t>E22PL_S_0.01</t>
  </si>
  <si>
    <t>E22PL_S_0.001</t>
  </si>
  <si>
    <t>E22PL_S_0.0001</t>
  </si>
  <si>
    <t>A04PG_F</t>
  </si>
  <si>
    <t>A04PG_F_0.1</t>
  </si>
  <si>
    <t>A04PG_F_0.01</t>
  </si>
  <si>
    <t>A04PG_F_0.001</t>
  </si>
  <si>
    <t>A04PG_F_0.0001</t>
  </si>
  <si>
    <t>A08HM_W</t>
  </si>
  <si>
    <t>A08HM_W_0.1</t>
  </si>
  <si>
    <t>A08HM_W_0.01</t>
  </si>
  <si>
    <t>A08HM_W_0.001</t>
  </si>
  <si>
    <t>A08HM_W_0.0001</t>
  </si>
  <si>
    <t>A22CW_S</t>
  </si>
  <si>
    <t>A22CW_S_0.1</t>
  </si>
  <si>
    <t>A22CW_S_0.01</t>
  </si>
  <si>
    <t>A22CW_S_0.001</t>
  </si>
  <si>
    <t>A22CW_S_0.0001</t>
  </si>
  <si>
    <t>P06PG_W</t>
  </si>
  <si>
    <t>P06PG_W_0.1</t>
  </si>
  <si>
    <t>P06PG_W_0.01</t>
  </si>
  <si>
    <t>P06PG_W_0.001</t>
  </si>
  <si>
    <t>P06PG_W_0.0001</t>
  </si>
  <si>
    <t>P16CW_SP</t>
  </si>
  <si>
    <t>P16CW_SP_0.1</t>
  </si>
  <si>
    <t>P16CW_SP_0.01</t>
  </si>
  <si>
    <t>P16CW_SP_0.001</t>
  </si>
  <si>
    <t>P16CW_SP_0.0001</t>
  </si>
  <si>
    <t>P19PL_SP</t>
  </si>
  <si>
    <t>P19PL_SP_0.1</t>
  </si>
  <si>
    <t>P19PL_SP_0.01</t>
  </si>
  <si>
    <t>P19PL_SP_0.001</t>
  </si>
  <si>
    <t>P19PL_SP_0.0001</t>
  </si>
  <si>
    <t>P22HM</t>
  </si>
  <si>
    <t>P22HM_0.1</t>
  </si>
  <si>
    <t>P22HM_0.01</t>
  </si>
  <si>
    <t>P22HM_0.001</t>
  </si>
  <si>
    <t>P22HM_0.0001</t>
  </si>
  <si>
    <t>D01HM_F</t>
  </si>
  <si>
    <t>D01HM_F_0.1</t>
  </si>
  <si>
    <t>D01HM_F_0.01</t>
  </si>
  <si>
    <t>D01HM_F_0.001</t>
  </si>
  <si>
    <t>D01HM_F_0.0001</t>
  </si>
  <si>
    <t>F06HM_W</t>
  </si>
  <si>
    <t>F06HM_W_0.1</t>
  </si>
  <si>
    <t>F06HM_W_0.01</t>
  </si>
  <si>
    <t>F06HM_W_0.001</t>
  </si>
  <si>
    <t>F06HM_W_0.0001</t>
  </si>
  <si>
    <t>F07PG_W</t>
  </si>
  <si>
    <t>F07PG_W_0.1</t>
  </si>
  <si>
    <t>F07PG_W_0.01</t>
  </si>
  <si>
    <t>F07PG_W_0.001</t>
  </si>
  <si>
    <t>F07PG_W_0.0001</t>
  </si>
  <si>
    <t>F11HM_P</t>
  </si>
  <si>
    <t>F11HM_P_0.1</t>
  </si>
  <si>
    <t>F11HM_P_0.01</t>
  </si>
  <si>
    <t>F11HM_P_0.001</t>
  </si>
  <si>
    <t>F11HM_P_0.0001</t>
  </si>
  <si>
    <t>F15HM_S</t>
  </si>
  <si>
    <t>F15HM_S_0.1</t>
  </si>
  <si>
    <t>F15HM_S_0.01</t>
  </si>
  <si>
    <t>F15HM_S_0.001</t>
  </si>
  <si>
    <t>F15HM_S_0.0001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</si>
</sst>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 applyAlignment="1">
      <alignment horizontal="center"/>
    </xf>
    <xf numFmtId="2" fontId="0" fillId="0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7FB6F-D546-4C59-B468-E709332A890C}">
  <dimension ref="A1:W76"/>
  <sheetViews>
    <sheetView tabSelected="1" workbookViewId="0">
      <selection sqref="A1:XFD1048576"/>
    </sheetView>
  </sheetViews>
  <sheetFormatPr baseColWidth="10" defaultRowHeight="14.4" x14ac:dyDescent="0.3"/>
  <cols>
    <col min="1" max="1" width="14.33203125" style="1" bestFit="1" customWidth="1"/>
    <col min="2" max="5" width="11.6640625" style="1" bestFit="1" customWidth="1"/>
    <col min="6" max="6" width="13.44140625" style="1" bestFit="1" customWidth="1"/>
    <col min="7" max="8" width="12.44140625" style="1" bestFit="1" customWidth="1"/>
    <col min="9" max="9" width="11.6640625" style="1" bestFit="1" customWidth="1"/>
    <col min="10" max="10" width="12.44140625" style="1" bestFit="1" customWidth="1"/>
    <col min="11" max="12" width="15.44140625" style="1" bestFit="1" customWidth="1"/>
    <col min="13" max="14" width="12.44140625" style="1" bestFit="1" customWidth="1"/>
    <col min="15" max="17" width="13.44140625" style="1" bestFit="1" customWidth="1"/>
    <col min="18" max="23" width="11.6640625" style="1" bestFit="1" customWidth="1"/>
    <col min="24" max="16384" width="11.5546875" style="1"/>
  </cols>
  <sheetData>
    <row r="1" spans="1:2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s="2" customFormat="1" x14ac:dyDescent="0.3">
      <c r="A2" s="2" t="s">
        <v>23</v>
      </c>
      <c r="B2" s="2">
        <v>1154.5454545454545</v>
      </c>
      <c r="C2" s="2">
        <v>0</v>
      </c>
      <c r="D2" s="2">
        <v>1300</v>
      </c>
      <c r="E2" s="2">
        <v>30</v>
      </c>
      <c r="F2" s="2">
        <v>10000</v>
      </c>
      <c r="G2" s="2">
        <v>30100000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5974482.5459294254</v>
      </c>
      <c r="N2" s="2">
        <v>183000</v>
      </c>
      <c r="O2" s="2">
        <v>0</v>
      </c>
      <c r="P2" s="2">
        <v>0</v>
      </c>
      <c r="Q2" s="2">
        <v>0</v>
      </c>
      <c r="R2" s="2">
        <v>390</v>
      </c>
      <c r="S2" s="2">
        <v>1240</v>
      </c>
      <c r="T2" s="2">
        <v>0</v>
      </c>
      <c r="U2" s="2">
        <v>430</v>
      </c>
      <c r="V2" s="2">
        <v>130000</v>
      </c>
      <c r="W2" s="2">
        <v>91200</v>
      </c>
    </row>
    <row r="3" spans="1:23" s="2" customFormat="1" x14ac:dyDescent="0.3">
      <c r="A3" s="2" t="s">
        <v>24</v>
      </c>
      <c r="B3" s="2">
        <f t="shared" ref="B3:Q6" si="0">B2/10</f>
        <v>115.45454545454545</v>
      </c>
      <c r="C3" s="2">
        <f t="shared" si="0"/>
        <v>0</v>
      </c>
      <c r="D3" s="2">
        <f t="shared" si="0"/>
        <v>130</v>
      </c>
      <c r="E3" s="2">
        <v>0</v>
      </c>
      <c r="F3" s="2">
        <f t="shared" si="0"/>
        <v>1000</v>
      </c>
      <c r="G3" s="2">
        <f t="shared" si="0"/>
        <v>3010000</v>
      </c>
      <c r="H3" s="2">
        <f t="shared" si="0"/>
        <v>0</v>
      </c>
      <c r="I3" s="2">
        <f t="shared" si="0"/>
        <v>0</v>
      </c>
      <c r="J3" s="2">
        <f t="shared" si="0"/>
        <v>0</v>
      </c>
      <c r="K3" s="2">
        <f t="shared" si="0"/>
        <v>0</v>
      </c>
      <c r="L3" s="2">
        <f t="shared" si="0"/>
        <v>0</v>
      </c>
      <c r="M3" s="2">
        <f t="shared" si="0"/>
        <v>597448.25459294254</v>
      </c>
      <c r="N3" s="2">
        <f t="shared" si="0"/>
        <v>18300</v>
      </c>
      <c r="O3" s="2">
        <f t="shared" si="0"/>
        <v>0</v>
      </c>
      <c r="P3" s="2">
        <f t="shared" si="0"/>
        <v>0</v>
      </c>
      <c r="Q3" s="2">
        <f t="shared" si="0"/>
        <v>0</v>
      </c>
      <c r="R3" s="2">
        <v>0</v>
      </c>
      <c r="S3" s="2">
        <f t="shared" ref="S3:W6" si="1">S2/10</f>
        <v>124</v>
      </c>
      <c r="T3" s="2">
        <f t="shared" si="1"/>
        <v>0</v>
      </c>
      <c r="U3" s="2">
        <v>0</v>
      </c>
      <c r="V3" s="2">
        <v>0</v>
      </c>
      <c r="W3" s="2">
        <f t="shared" si="1"/>
        <v>9120</v>
      </c>
    </row>
    <row r="4" spans="1:23" s="2" customFormat="1" x14ac:dyDescent="0.3">
      <c r="A4" s="2" t="s">
        <v>25</v>
      </c>
      <c r="B4" s="2">
        <f t="shared" si="0"/>
        <v>11.545454545454545</v>
      </c>
      <c r="C4" s="2">
        <f t="shared" si="0"/>
        <v>0</v>
      </c>
      <c r="D4" s="2">
        <f t="shared" si="0"/>
        <v>13</v>
      </c>
      <c r="E4" s="2">
        <f t="shared" si="0"/>
        <v>0</v>
      </c>
      <c r="F4" s="2">
        <f t="shared" si="0"/>
        <v>100</v>
      </c>
      <c r="G4" s="2">
        <f t="shared" si="0"/>
        <v>301000</v>
      </c>
      <c r="H4" s="2">
        <f t="shared" si="0"/>
        <v>0</v>
      </c>
      <c r="I4" s="2">
        <f t="shared" si="0"/>
        <v>0</v>
      </c>
      <c r="J4" s="2">
        <f t="shared" si="0"/>
        <v>0</v>
      </c>
      <c r="K4" s="2">
        <f t="shared" si="0"/>
        <v>0</v>
      </c>
      <c r="L4" s="2">
        <f t="shared" si="0"/>
        <v>0</v>
      </c>
      <c r="M4" s="2">
        <f t="shared" si="0"/>
        <v>59744.825459294254</v>
      </c>
      <c r="N4" s="2">
        <v>0</v>
      </c>
      <c r="O4" s="2">
        <f t="shared" si="0"/>
        <v>0</v>
      </c>
      <c r="P4" s="2">
        <f t="shared" si="0"/>
        <v>0</v>
      </c>
      <c r="Q4" s="2">
        <f t="shared" si="0"/>
        <v>0</v>
      </c>
      <c r="R4" s="2">
        <f t="shared" ref="R4:W7" si="2">R3/10</f>
        <v>0</v>
      </c>
      <c r="S4" s="2">
        <v>0</v>
      </c>
      <c r="T4" s="2">
        <f t="shared" si="2"/>
        <v>0</v>
      </c>
      <c r="U4" s="2">
        <f t="shared" si="2"/>
        <v>0</v>
      </c>
      <c r="V4" s="2">
        <f t="shared" si="2"/>
        <v>0</v>
      </c>
      <c r="W4" s="2">
        <f t="shared" si="2"/>
        <v>912</v>
      </c>
    </row>
    <row r="5" spans="1:23" s="2" customFormat="1" x14ac:dyDescent="0.3">
      <c r="A5" s="2" t="s">
        <v>26</v>
      </c>
      <c r="B5" s="2">
        <v>0</v>
      </c>
      <c r="C5" s="2">
        <f t="shared" si="0"/>
        <v>0</v>
      </c>
      <c r="D5" s="2">
        <v>0</v>
      </c>
      <c r="E5" s="2">
        <f t="shared" si="0"/>
        <v>0</v>
      </c>
      <c r="F5" s="2">
        <v>0</v>
      </c>
      <c r="G5" s="2">
        <v>0</v>
      </c>
      <c r="H5" s="2">
        <f t="shared" si="0"/>
        <v>0</v>
      </c>
      <c r="I5" s="2">
        <f t="shared" si="0"/>
        <v>0</v>
      </c>
      <c r="J5" s="2">
        <f t="shared" si="0"/>
        <v>0</v>
      </c>
      <c r="K5" s="2">
        <f t="shared" si="0"/>
        <v>0</v>
      </c>
      <c r="L5" s="2">
        <f t="shared" si="0"/>
        <v>0</v>
      </c>
      <c r="M5" s="2">
        <f t="shared" si="0"/>
        <v>5974.4825459294252</v>
      </c>
      <c r="N5" s="2">
        <f t="shared" si="0"/>
        <v>0</v>
      </c>
      <c r="O5" s="2">
        <f t="shared" si="0"/>
        <v>0</v>
      </c>
      <c r="P5" s="2">
        <f t="shared" si="0"/>
        <v>0</v>
      </c>
      <c r="Q5" s="2">
        <f t="shared" si="0"/>
        <v>0</v>
      </c>
      <c r="R5" s="2">
        <f t="shared" si="2"/>
        <v>0</v>
      </c>
      <c r="S5" s="2">
        <f t="shared" si="2"/>
        <v>0</v>
      </c>
      <c r="T5" s="2">
        <f t="shared" si="2"/>
        <v>0</v>
      </c>
      <c r="U5" s="2">
        <f t="shared" si="2"/>
        <v>0</v>
      </c>
      <c r="V5" s="2">
        <f t="shared" si="2"/>
        <v>0</v>
      </c>
      <c r="W5" s="2">
        <v>0</v>
      </c>
    </row>
    <row r="6" spans="1:23" s="2" customFormat="1" x14ac:dyDescent="0.3">
      <c r="A6" s="2" t="s">
        <v>27</v>
      </c>
      <c r="B6" s="2">
        <f t="shared" ref="B6:Q9" si="3">B5/10</f>
        <v>0</v>
      </c>
      <c r="C6" s="2">
        <f t="shared" si="3"/>
        <v>0</v>
      </c>
      <c r="D6" s="2">
        <f t="shared" si="3"/>
        <v>0</v>
      </c>
      <c r="E6" s="2">
        <f t="shared" si="3"/>
        <v>0</v>
      </c>
      <c r="F6" s="2">
        <f t="shared" si="3"/>
        <v>0</v>
      </c>
      <c r="G6" s="2">
        <f t="shared" si="3"/>
        <v>0</v>
      </c>
      <c r="H6" s="2">
        <f t="shared" si="3"/>
        <v>0</v>
      </c>
      <c r="I6" s="2">
        <f t="shared" si="3"/>
        <v>0</v>
      </c>
      <c r="J6" s="2">
        <f t="shared" si="3"/>
        <v>0</v>
      </c>
      <c r="K6" s="2">
        <f t="shared" si="3"/>
        <v>0</v>
      </c>
      <c r="L6" s="2">
        <f t="shared" si="3"/>
        <v>0</v>
      </c>
      <c r="M6" s="2">
        <f t="shared" si="3"/>
        <v>597.44825459294248</v>
      </c>
      <c r="N6" s="2">
        <f t="shared" si="3"/>
        <v>0</v>
      </c>
      <c r="O6" s="2">
        <f t="shared" si="3"/>
        <v>0</v>
      </c>
      <c r="P6" s="2">
        <f t="shared" si="3"/>
        <v>0</v>
      </c>
      <c r="Q6" s="2">
        <f t="shared" si="3"/>
        <v>0</v>
      </c>
      <c r="R6" s="2">
        <f t="shared" si="2"/>
        <v>0</v>
      </c>
      <c r="S6" s="2">
        <f t="shared" si="2"/>
        <v>0</v>
      </c>
      <c r="T6" s="2">
        <f t="shared" si="2"/>
        <v>0</v>
      </c>
      <c r="U6" s="2">
        <f t="shared" si="2"/>
        <v>0</v>
      </c>
      <c r="V6" s="2">
        <f t="shared" si="2"/>
        <v>0</v>
      </c>
      <c r="W6" s="2">
        <f t="shared" si="2"/>
        <v>0</v>
      </c>
    </row>
    <row r="7" spans="1:23" s="2" customFormat="1" x14ac:dyDescent="0.3">
      <c r="A7" s="2" t="s">
        <v>28</v>
      </c>
      <c r="B7" s="2">
        <v>0</v>
      </c>
      <c r="C7" s="2">
        <v>0</v>
      </c>
      <c r="D7" s="2">
        <v>35350</v>
      </c>
      <c r="E7" s="2">
        <v>0</v>
      </c>
      <c r="F7" s="2">
        <v>5454.545454545455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204737609.89520222</v>
      </c>
      <c r="M7" s="2">
        <v>54619.885304896052</v>
      </c>
      <c r="N7" s="2">
        <v>0</v>
      </c>
      <c r="O7" s="2">
        <v>0</v>
      </c>
      <c r="P7" s="2">
        <v>11700000</v>
      </c>
      <c r="Q7" s="2">
        <v>0</v>
      </c>
      <c r="R7" s="2">
        <v>66</v>
      </c>
      <c r="S7" s="2">
        <v>50</v>
      </c>
      <c r="T7" s="2">
        <v>0</v>
      </c>
      <c r="U7" s="2">
        <v>154</v>
      </c>
      <c r="V7" s="2">
        <v>0</v>
      </c>
      <c r="W7" s="2">
        <v>229600</v>
      </c>
    </row>
    <row r="8" spans="1:23" s="2" customFormat="1" x14ac:dyDescent="0.3">
      <c r="A8" s="2" t="s">
        <v>29</v>
      </c>
      <c r="B8" s="2">
        <f t="shared" ref="B8:Q11" si="4">B7/10</f>
        <v>0</v>
      </c>
      <c r="C8" s="2">
        <f t="shared" si="4"/>
        <v>0</v>
      </c>
      <c r="D8" s="2">
        <f t="shared" si="4"/>
        <v>3535</v>
      </c>
      <c r="E8" s="2">
        <f t="shared" si="4"/>
        <v>0</v>
      </c>
      <c r="F8" s="2">
        <f t="shared" si="4"/>
        <v>545.4545454545455</v>
      </c>
      <c r="G8" s="2">
        <f t="shared" si="4"/>
        <v>0</v>
      </c>
      <c r="H8" s="2">
        <f t="shared" si="4"/>
        <v>0</v>
      </c>
      <c r="I8" s="2">
        <f t="shared" si="4"/>
        <v>0</v>
      </c>
      <c r="J8" s="2">
        <f t="shared" si="4"/>
        <v>0</v>
      </c>
      <c r="K8" s="2">
        <f t="shared" si="4"/>
        <v>0</v>
      </c>
      <c r="L8" s="2">
        <f t="shared" si="4"/>
        <v>20473760.989520222</v>
      </c>
      <c r="M8" s="2">
        <f t="shared" si="4"/>
        <v>5461.9885304896052</v>
      </c>
      <c r="N8" s="2">
        <f t="shared" si="4"/>
        <v>0</v>
      </c>
      <c r="O8" s="2">
        <f t="shared" si="4"/>
        <v>0</v>
      </c>
      <c r="P8" s="2">
        <f t="shared" si="4"/>
        <v>1170000</v>
      </c>
      <c r="Q8" s="2">
        <f t="shared" si="4"/>
        <v>0</v>
      </c>
      <c r="R8" s="2">
        <v>0</v>
      </c>
      <c r="S8" s="2">
        <v>0</v>
      </c>
      <c r="T8" s="2">
        <f t="shared" ref="T8:W11" si="5">T7/10</f>
        <v>0</v>
      </c>
      <c r="U8" s="2">
        <v>0</v>
      </c>
      <c r="V8" s="2">
        <f t="shared" si="5"/>
        <v>0</v>
      </c>
      <c r="W8" s="2">
        <f t="shared" si="5"/>
        <v>22960</v>
      </c>
    </row>
    <row r="9" spans="1:23" s="2" customFormat="1" x14ac:dyDescent="0.3">
      <c r="A9" s="2" t="s">
        <v>30</v>
      </c>
      <c r="B9" s="2">
        <f t="shared" si="4"/>
        <v>0</v>
      </c>
      <c r="C9" s="2">
        <f t="shared" si="4"/>
        <v>0</v>
      </c>
      <c r="D9" s="2">
        <f t="shared" si="4"/>
        <v>353.5</v>
      </c>
      <c r="E9" s="2">
        <f t="shared" si="4"/>
        <v>0</v>
      </c>
      <c r="F9" s="2">
        <f t="shared" si="4"/>
        <v>54.545454545454547</v>
      </c>
      <c r="G9" s="2">
        <f t="shared" si="4"/>
        <v>0</v>
      </c>
      <c r="H9" s="2">
        <f t="shared" si="4"/>
        <v>0</v>
      </c>
      <c r="I9" s="2">
        <f t="shared" si="4"/>
        <v>0</v>
      </c>
      <c r="J9" s="2">
        <f t="shared" si="4"/>
        <v>0</v>
      </c>
      <c r="K9" s="2">
        <f t="shared" si="4"/>
        <v>0</v>
      </c>
      <c r="L9" s="2">
        <f t="shared" si="4"/>
        <v>2047376.0989520221</v>
      </c>
      <c r="M9" s="2">
        <f t="shared" si="4"/>
        <v>546.19885304896047</v>
      </c>
      <c r="N9" s="2">
        <f t="shared" si="4"/>
        <v>0</v>
      </c>
      <c r="O9" s="2">
        <f t="shared" si="4"/>
        <v>0</v>
      </c>
      <c r="P9" s="2">
        <f t="shared" si="4"/>
        <v>117000</v>
      </c>
      <c r="Q9" s="2">
        <f t="shared" si="4"/>
        <v>0</v>
      </c>
      <c r="R9" s="2">
        <f t="shared" ref="R9:W12" si="6">R8/10</f>
        <v>0</v>
      </c>
      <c r="S9" s="2">
        <f t="shared" si="6"/>
        <v>0</v>
      </c>
      <c r="T9" s="2">
        <f t="shared" si="6"/>
        <v>0</v>
      </c>
      <c r="U9" s="2">
        <f t="shared" si="6"/>
        <v>0</v>
      </c>
      <c r="V9" s="2">
        <f t="shared" si="6"/>
        <v>0</v>
      </c>
      <c r="W9" s="2">
        <f t="shared" si="6"/>
        <v>2296</v>
      </c>
    </row>
    <row r="10" spans="1:23" s="2" customFormat="1" x14ac:dyDescent="0.3">
      <c r="A10" s="2" t="s">
        <v>31</v>
      </c>
      <c r="B10" s="2">
        <f t="shared" si="4"/>
        <v>0</v>
      </c>
      <c r="C10" s="2">
        <f t="shared" si="4"/>
        <v>0</v>
      </c>
      <c r="D10" s="2">
        <f t="shared" si="4"/>
        <v>35.35</v>
      </c>
      <c r="E10" s="2">
        <f t="shared" si="4"/>
        <v>0</v>
      </c>
      <c r="F10" s="2">
        <v>0</v>
      </c>
      <c r="G10" s="2">
        <f t="shared" si="4"/>
        <v>0</v>
      </c>
      <c r="H10" s="2">
        <f t="shared" si="4"/>
        <v>0</v>
      </c>
      <c r="I10" s="2">
        <f t="shared" si="4"/>
        <v>0</v>
      </c>
      <c r="J10" s="2">
        <f t="shared" si="4"/>
        <v>0</v>
      </c>
      <c r="K10" s="2">
        <f t="shared" si="4"/>
        <v>0</v>
      </c>
      <c r="L10" s="2">
        <f t="shared" si="4"/>
        <v>204737.60989520221</v>
      </c>
      <c r="M10" s="2">
        <v>0</v>
      </c>
      <c r="N10" s="2">
        <f t="shared" si="4"/>
        <v>0</v>
      </c>
      <c r="O10" s="2">
        <f t="shared" si="4"/>
        <v>0</v>
      </c>
      <c r="P10" s="2">
        <v>0</v>
      </c>
      <c r="Q10" s="2">
        <f t="shared" si="4"/>
        <v>0</v>
      </c>
      <c r="R10" s="2">
        <f t="shared" si="6"/>
        <v>0</v>
      </c>
      <c r="S10" s="2">
        <f t="shared" si="6"/>
        <v>0</v>
      </c>
      <c r="T10" s="2">
        <f t="shared" si="6"/>
        <v>0</v>
      </c>
      <c r="U10" s="2">
        <f t="shared" si="6"/>
        <v>0</v>
      </c>
      <c r="V10" s="2">
        <f t="shared" si="6"/>
        <v>0</v>
      </c>
      <c r="W10" s="2">
        <v>0</v>
      </c>
    </row>
    <row r="11" spans="1:23" s="2" customFormat="1" x14ac:dyDescent="0.3">
      <c r="A11" s="2" t="s">
        <v>32</v>
      </c>
      <c r="B11" s="2">
        <f t="shared" si="4"/>
        <v>0</v>
      </c>
      <c r="C11" s="2">
        <f t="shared" si="4"/>
        <v>0</v>
      </c>
      <c r="D11" s="2">
        <v>0</v>
      </c>
      <c r="E11" s="2">
        <f t="shared" si="4"/>
        <v>0</v>
      </c>
      <c r="F11" s="2">
        <f t="shared" si="4"/>
        <v>0</v>
      </c>
      <c r="G11" s="2">
        <f t="shared" si="4"/>
        <v>0</v>
      </c>
      <c r="H11" s="2">
        <f t="shared" si="4"/>
        <v>0</v>
      </c>
      <c r="I11" s="2">
        <f t="shared" si="4"/>
        <v>0</v>
      </c>
      <c r="J11" s="2">
        <f t="shared" si="4"/>
        <v>0</v>
      </c>
      <c r="K11" s="2">
        <f t="shared" si="4"/>
        <v>0</v>
      </c>
      <c r="L11" s="2">
        <f t="shared" si="4"/>
        <v>20473.760989520222</v>
      </c>
      <c r="M11" s="2">
        <f t="shared" si="4"/>
        <v>0</v>
      </c>
      <c r="N11" s="2">
        <f t="shared" si="4"/>
        <v>0</v>
      </c>
      <c r="O11" s="2">
        <f t="shared" si="4"/>
        <v>0</v>
      </c>
      <c r="P11" s="2">
        <f t="shared" si="4"/>
        <v>0</v>
      </c>
      <c r="Q11" s="2">
        <f t="shared" si="4"/>
        <v>0</v>
      </c>
      <c r="R11" s="2">
        <f t="shared" si="6"/>
        <v>0</v>
      </c>
      <c r="S11" s="2">
        <f t="shared" si="6"/>
        <v>0</v>
      </c>
      <c r="T11" s="2">
        <f t="shared" si="6"/>
        <v>0</v>
      </c>
      <c r="U11" s="2">
        <f t="shared" si="6"/>
        <v>0</v>
      </c>
      <c r="V11" s="2">
        <f t="shared" si="6"/>
        <v>0</v>
      </c>
      <c r="W11" s="2">
        <f t="shared" si="6"/>
        <v>0</v>
      </c>
    </row>
    <row r="12" spans="1:23" s="2" customFormat="1" x14ac:dyDescent="0.3">
      <c r="A12" s="2" t="s">
        <v>33</v>
      </c>
      <c r="B12" s="2">
        <v>0</v>
      </c>
      <c r="C12" s="2">
        <v>0</v>
      </c>
      <c r="D12" s="2">
        <v>0</v>
      </c>
      <c r="E12" s="2">
        <v>50</v>
      </c>
      <c r="F12" s="2">
        <v>23181.818181818184</v>
      </c>
      <c r="G12" s="2">
        <v>0</v>
      </c>
      <c r="H12" s="2">
        <v>0</v>
      </c>
      <c r="I12" s="2">
        <v>0</v>
      </c>
      <c r="J12" s="2">
        <v>20054967.382788099</v>
      </c>
      <c r="K12" s="2">
        <v>0</v>
      </c>
      <c r="L12" s="2">
        <v>0</v>
      </c>
      <c r="M12" s="2">
        <v>1850552.8531603306</v>
      </c>
      <c r="N12" s="2">
        <v>5280000</v>
      </c>
      <c r="O12" s="2">
        <v>0</v>
      </c>
      <c r="P12" s="2">
        <v>0</v>
      </c>
      <c r="Q12" s="2">
        <v>346000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</row>
    <row r="13" spans="1:23" s="2" customFormat="1" x14ac:dyDescent="0.3">
      <c r="A13" s="2" t="s">
        <v>34</v>
      </c>
      <c r="B13" s="2">
        <f t="shared" ref="B13:Q16" si="7">B12/10</f>
        <v>0</v>
      </c>
      <c r="C13" s="2">
        <f t="shared" si="7"/>
        <v>0</v>
      </c>
      <c r="D13" s="2">
        <f t="shared" si="7"/>
        <v>0</v>
      </c>
      <c r="E13" s="2">
        <f t="shared" si="7"/>
        <v>5</v>
      </c>
      <c r="F13" s="2">
        <f t="shared" si="7"/>
        <v>2318.1818181818185</v>
      </c>
      <c r="G13" s="2">
        <f t="shared" si="7"/>
        <v>0</v>
      </c>
      <c r="H13" s="2">
        <f t="shared" si="7"/>
        <v>0</v>
      </c>
      <c r="I13" s="2">
        <f t="shared" si="7"/>
        <v>0</v>
      </c>
      <c r="J13" s="2">
        <f t="shared" si="7"/>
        <v>2005496.7382788099</v>
      </c>
      <c r="K13" s="2">
        <f t="shared" si="7"/>
        <v>0</v>
      </c>
      <c r="L13" s="2">
        <f t="shared" si="7"/>
        <v>0</v>
      </c>
      <c r="M13" s="2">
        <f t="shared" si="7"/>
        <v>185055.28531603306</v>
      </c>
      <c r="N13" s="2">
        <f t="shared" si="7"/>
        <v>528000</v>
      </c>
      <c r="O13" s="2">
        <f t="shared" si="7"/>
        <v>0</v>
      </c>
      <c r="P13" s="2">
        <f t="shared" si="7"/>
        <v>0</v>
      </c>
      <c r="Q13" s="2">
        <f t="shared" si="7"/>
        <v>34600</v>
      </c>
      <c r="R13" s="2">
        <f t="shared" ref="R13:W16" si="8">R12/10</f>
        <v>0</v>
      </c>
      <c r="S13" s="2">
        <f t="shared" si="8"/>
        <v>0</v>
      </c>
      <c r="T13" s="2">
        <f t="shared" si="8"/>
        <v>0</v>
      </c>
      <c r="U13" s="2">
        <f t="shared" si="8"/>
        <v>0</v>
      </c>
      <c r="V13" s="2">
        <f t="shared" si="8"/>
        <v>0</v>
      </c>
      <c r="W13" s="2">
        <f t="shared" si="8"/>
        <v>0</v>
      </c>
    </row>
    <row r="14" spans="1:23" s="2" customFormat="1" x14ac:dyDescent="0.3">
      <c r="A14" s="2" t="s">
        <v>35</v>
      </c>
      <c r="B14" s="2">
        <f t="shared" si="7"/>
        <v>0</v>
      </c>
      <c r="C14" s="2">
        <f t="shared" si="7"/>
        <v>0</v>
      </c>
      <c r="D14" s="2">
        <f t="shared" si="7"/>
        <v>0</v>
      </c>
      <c r="E14" s="2">
        <v>0</v>
      </c>
      <c r="F14" s="2">
        <f t="shared" si="7"/>
        <v>231.81818181818184</v>
      </c>
      <c r="G14" s="2">
        <f t="shared" si="7"/>
        <v>0</v>
      </c>
      <c r="H14" s="2">
        <f t="shared" si="7"/>
        <v>0</v>
      </c>
      <c r="I14" s="2">
        <f t="shared" si="7"/>
        <v>0</v>
      </c>
      <c r="J14" s="2">
        <f t="shared" si="7"/>
        <v>200549.67382788099</v>
      </c>
      <c r="K14" s="2">
        <f t="shared" si="7"/>
        <v>0</v>
      </c>
      <c r="L14" s="2">
        <f t="shared" si="7"/>
        <v>0</v>
      </c>
      <c r="M14" s="2">
        <f t="shared" si="7"/>
        <v>18505.528531603304</v>
      </c>
      <c r="N14" s="2">
        <f t="shared" si="7"/>
        <v>52800</v>
      </c>
      <c r="O14" s="2">
        <f t="shared" si="7"/>
        <v>0</v>
      </c>
      <c r="P14" s="2">
        <f t="shared" si="7"/>
        <v>0</v>
      </c>
      <c r="Q14" s="2">
        <v>0</v>
      </c>
      <c r="R14" s="2">
        <f t="shared" si="8"/>
        <v>0</v>
      </c>
      <c r="S14" s="2">
        <f t="shared" si="8"/>
        <v>0</v>
      </c>
      <c r="T14" s="2">
        <f t="shared" si="8"/>
        <v>0</v>
      </c>
      <c r="U14" s="2">
        <f t="shared" si="8"/>
        <v>0</v>
      </c>
      <c r="V14" s="2">
        <f t="shared" si="8"/>
        <v>0</v>
      </c>
      <c r="W14" s="2">
        <f t="shared" si="8"/>
        <v>0</v>
      </c>
    </row>
    <row r="15" spans="1:23" s="2" customFormat="1" x14ac:dyDescent="0.3">
      <c r="A15" s="2" t="s">
        <v>36</v>
      </c>
      <c r="B15" s="2">
        <f t="shared" si="7"/>
        <v>0</v>
      </c>
      <c r="C15" s="2">
        <f t="shared" si="7"/>
        <v>0</v>
      </c>
      <c r="D15" s="2">
        <f t="shared" si="7"/>
        <v>0</v>
      </c>
      <c r="E15" s="2">
        <f t="shared" si="7"/>
        <v>0</v>
      </c>
      <c r="F15" s="2">
        <v>0</v>
      </c>
      <c r="G15" s="2">
        <f t="shared" si="7"/>
        <v>0</v>
      </c>
      <c r="H15" s="2">
        <f t="shared" si="7"/>
        <v>0</v>
      </c>
      <c r="I15" s="2">
        <f t="shared" si="7"/>
        <v>0</v>
      </c>
      <c r="J15" s="2">
        <v>0</v>
      </c>
      <c r="K15" s="2">
        <f t="shared" si="7"/>
        <v>0</v>
      </c>
      <c r="L15" s="2">
        <f t="shared" si="7"/>
        <v>0</v>
      </c>
      <c r="M15" s="2">
        <f t="shared" si="7"/>
        <v>1850.5528531603304</v>
      </c>
      <c r="N15" s="2">
        <v>0</v>
      </c>
      <c r="O15" s="2">
        <f t="shared" si="7"/>
        <v>0</v>
      </c>
      <c r="P15" s="2">
        <f t="shared" si="7"/>
        <v>0</v>
      </c>
      <c r="Q15" s="2">
        <v>0</v>
      </c>
      <c r="R15" s="2">
        <f t="shared" si="8"/>
        <v>0</v>
      </c>
      <c r="S15" s="2">
        <f t="shared" si="8"/>
        <v>0</v>
      </c>
      <c r="T15" s="2">
        <f t="shared" si="8"/>
        <v>0</v>
      </c>
      <c r="U15" s="2">
        <f t="shared" si="8"/>
        <v>0</v>
      </c>
      <c r="V15" s="2">
        <f t="shared" si="8"/>
        <v>0</v>
      </c>
      <c r="W15" s="2">
        <f t="shared" si="8"/>
        <v>0</v>
      </c>
    </row>
    <row r="16" spans="1:23" s="2" customFormat="1" x14ac:dyDescent="0.3">
      <c r="A16" s="2" t="s">
        <v>37</v>
      </c>
      <c r="B16" s="2">
        <f t="shared" si="7"/>
        <v>0</v>
      </c>
      <c r="C16" s="2">
        <f t="shared" si="7"/>
        <v>0</v>
      </c>
      <c r="D16" s="2">
        <f t="shared" si="7"/>
        <v>0</v>
      </c>
      <c r="E16" s="2">
        <f t="shared" si="7"/>
        <v>0</v>
      </c>
      <c r="F16" s="2">
        <f t="shared" si="7"/>
        <v>0</v>
      </c>
      <c r="G16" s="2">
        <f t="shared" si="7"/>
        <v>0</v>
      </c>
      <c r="H16" s="2">
        <f t="shared" si="7"/>
        <v>0</v>
      </c>
      <c r="I16" s="2">
        <f t="shared" si="7"/>
        <v>0</v>
      </c>
      <c r="J16" s="2">
        <f t="shared" si="7"/>
        <v>0</v>
      </c>
      <c r="K16" s="2">
        <f t="shared" si="7"/>
        <v>0</v>
      </c>
      <c r="L16" s="2">
        <f t="shared" si="7"/>
        <v>0</v>
      </c>
      <c r="M16" s="2">
        <v>0</v>
      </c>
      <c r="N16" s="2">
        <f t="shared" si="7"/>
        <v>0</v>
      </c>
      <c r="O16" s="2">
        <f t="shared" si="7"/>
        <v>0</v>
      </c>
      <c r="P16" s="2">
        <f t="shared" si="7"/>
        <v>0</v>
      </c>
      <c r="Q16" s="2">
        <f t="shared" si="7"/>
        <v>0</v>
      </c>
      <c r="R16" s="2">
        <f t="shared" si="8"/>
        <v>0</v>
      </c>
      <c r="S16" s="2">
        <f t="shared" si="8"/>
        <v>0</v>
      </c>
      <c r="T16" s="2">
        <f t="shared" si="8"/>
        <v>0</v>
      </c>
      <c r="U16" s="2">
        <f t="shared" si="8"/>
        <v>0</v>
      </c>
      <c r="V16" s="2">
        <f t="shared" si="8"/>
        <v>0</v>
      </c>
      <c r="W16" s="2">
        <f t="shared" si="8"/>
        <v>0</v>
      </c>
    </row>
    <row r="17" spans="1:23" s="2" customFormat="1" x14ac:dyDescent="0.3">
      <c r="A17" s="2" t="s">
        <v>38</v>
      </c>
      <c r="B17" s="2">
        <v>0</v>
      </c>
      <c r="C17" s="2">
        <v>0</v>
      </c>
      <c r="D17" s="2">
        <v>0</v>
      </c>
      <c r="E17" s="2">
        <v>0</v>
      </c>
      <c r="F17" s="2">
        <v>409</v>
      </c>
      <c r="G17" s="2">
        <v>0</v>
      </c>
      <c r="H17" s="2">
        <v>26800000</v>
      </c>
      <c r="I17" s="2">
        <v>0</v>
      </c>
      <c r="J17" s="2">
        <v>0</v>
      </c>
      <c r="K17" s="2">
        <v>0</v>
      </c>
      <c r="L17" s="2">
        <v>6809556436.8751297</v>
      </c>
      <c r="M17" s="2">
        <v>0</v>
      </c>
      <c r="N17" s="2">
        <v>0</v>
      </c>
      <c r="O17" s="2">
        <v>0</v>
      </c>
      <c r="P17" s="2">
        <v>10500000</v>
      </c>
      <c r="Q17" s="2">
        <v>0</v>
      </c>
      <c r="R17" s="2">
        <v>290</v>
      </c>
      <c r="S17" s="2">
        <v>990</v>
      </c>
      <c r="T17" s="2">
        <v>0</v>
      </c>
      <c r="U17" s="2">
        <v>410</v>
      </c>
      <c r="V17" s="2">
        <v>0</v>
      </c>
      <c r="W17" s="2">
        <v>0</v>
      </c>
    </row>
    <row r="18" spans="1:23" s="2" customFormat="1" x14ac:dyDescent="0.3">
      <c r="A18" s="2" t="s">
        <v>39</v>
      </c>
      <c r="B18" s="2">
        <f t="shared" ref="B18:Q21" si="9">B17/10</f>
        <v>0</v>
      </c>
      <c r="C18" s="2">
        <f t="shared" si="9"/>
        <v>0</v>
      </c>
      <c r="D18" s="2">
        <f t="shared" si="9"/>
        <v>0</v>
      </c>
      <c r="E18" s="2">
        <f t="shared" si="9"/>
        <v>0</v>
      </c>
      <c r="F18" s="2">
        <v>0</v>
      </c>
      <c r="G18" s="2">
        <f t="shared" si="9"/>
        <v>0</v>
      </c>
      <c r="H18" s="2">
        <f t="shared" si="9"/>
        <v>2680000</v>
      </c>
      <c r="I18" s="2">
        <f t="shared" si="9"/>
        <v>0</v>
      </c>
      <c r="J18" s="2">
        <f t="shared" si="9"/>
        <v>0</v>
      </c>
      <c r="K18" s="2">
        <f t="shared" si="9"/>
        <v>0</v>
      </c>
      <c r="L18" s="2">
        <f t="shared" si="9"/>
        <v>680955643.68751299</v>
      </c>
      <c r="M18" s="2">
        <f t="shared" si="9"/>
        <v>0</v>
      </c>
      <c r="N18" s="2">
        <f t="shared" si="9"/>
        <v>0</v>
      </c>
      <c r="O18" s="2">
        <f t="shared" si="9"/>
        <v>0</v>
      </c>
      <c r="P18" s="2">
        <f t="shared" si="9"/>
        <v>1050000</v>
      </c>
      <c r="Q18" s="2">
        <f t="shared" si="9"/>
        <v>0</v>
      </c>
      <c r="R18" s="2">
        <v>0</v>
      </c>
      <c r="S18" s="2">
        <f t="shared" ref="S18:W21" si="10">S17/10</f>
        <v>99</v>
      </c>
      <c r="T18" s="2">
        <f t="shared" si="10"/>
        <v>0</v>
      </c>
      <c r="U18" s="2">
        <v>0</v>
      </c>
      <c r="V18" s="2">
        <f t="shared" si="10"/>
        <v>0</v>
      </c>
      <c r="W18" s="2">
        <f t="shared" si="10"/>
        <v>0</v>
      </c>
    </row>
    <row r="19" spans="1:23" s="2" customFormat="1" x14ac:dyDescent="0.3">
      <c r="A19" s="2" t="s">
        <v>40</v>
      </c>
      <c r="B19" s="2">
        <f t="shared" si="9"/>
        <v>0</v>
      </c>
      <c r="C19" s="2">
        <f t="shared" si="9"/>
        <v>0</v>
      </c>
      <c r="D19" s="2">
        <f t="shared" si="9"/>
        <v>0</v>
      </c>
      <c r="E19" s="2">
        <f t="shared" si="9"/>
        <v>0</v>
      </c>
      <c r="F19" s="2">
        <f t="shared" si="9"/>
        <v>0</v>
      </c>
      <c r="G19" s="2">
        <f t="shared" si="9"/>
        <v>0</v>
      </c>
      <c r="H19" s="2">
        <f t="shared" si="9"/>
        <v>268000</v>
      </c>
      <c r="I19" s="2">
        <f t="shared" si="9"/>
        <v>0</v>
      </c>
      <c r="J19" s="2">
        <f t="shared" si="9"/>
        <v>0</v>
      </c>
      <c r="K19" s="2">
        <f t="shared" si="9"/>
        <v>0</v>
      </c>
      <c r="L19" s="2">
        <f t="shared" si="9"/>
        <v>68095564.368751302</v>
      </c>
      <c r="M19" s="2">
        <f t="shared" si="9"/>
        <v>0</v>
      </c>
      <c r="N19" s="2">
        <f t="shared" si="9"/>
        <v>0</v>
      </c>
      <c r="O19" s="2">
        <f t="shared" si="9"/>
        <v>0</v>
      </c>
      <c r="P19" s="2">
        <f t="shared" si="9"/>
        <v>105000</v>
      </c>
      <c r="Q19" s="2">
        <f t="shared" si="9"/>
        <v>0</v>
      </c>
      <c r="R19" s="2">
        <f t="shared" ref="R19:W22" si="11">R18/10</f>
        <v>0</v>
      </c>
      <c r="S19" s="2">
        <v>0</v>
      </c>
      <c r="T19" s="2">
        <f t="shared" si="11"/>
        <v>0</v>
      </c>
      <c r="U19" s="2">
        <f t="shared" si="11"/>
        <v>0</v>
      </c>
      <c r="V19" s="2">
        <f t="shared" si="11"/>
        <v>0</v>
      </c>
      <c r="W19" s="2">
        <f t="shared" si="11"/>
        <v>0</v>
      </c>
    </row>
    <row r="20" spans="1:23" s="2" customFormat="1" x14ac:dyDescent="0.3">
      <c r="A20" s="2" t="s">
        <v>41</v>
      </c>
      <c r="B20" s="2">
        <f t="shared" si="9"/>
        <v>0</v>
      </c>
      <c r="C20" s="2">
        <f t="shared" si="9"/>
        <v>0</v>
      </c>
      <c r="D20" s="2">
        <f t="shared" si="9"/>
        <v>0</v>
      </c>
      <c r="E20" s="2">
        <f t="shared" si="9"/>
        <v>0</v>
      </c>
      <c r="F20" s="2">
        <f t="shared" si="9"/>
        <v>0</v>
      </c>
      <c r="G20" s="2">
        <f t="shared" si="9"/>
        <v>0</v>
      </c>
      <c r="H20" s="2">
        <v>0</v>
      </c>
      <c r="I20" s="2">
        <f t="shared" si="9"/>
        <v>0</v>
      </c>
      <c r="J20" s="2">
        <f t="shared" si="9"/>
        <v>0</v>
      </c>
      <c r="K20" s="2">
        <f t="shared" si="9"/>
        <v>0</v>
      </c>
      <c r="L20" s="2">
        <f t="shared" si="9"/>
        <v>6809556.43687513</v>
      </c>
      <c r="M20" s="2">
        <f t="shared" si="9"/>
        <v>0</v>
      </c>
      <c r="N20" s="2">
        <f t="shared" si="9"/>
        <v>0</v>
      </c>
      <c r="O20" s="2">
        <f t="shared" si="9"/>
        <v>0</v>
      </c>
      <c r="P20" s="2">
        <v>0</v>
      </c>
      <c r="Q20" s="2">
        <f t="shared" si="9"/>
        <v>0</v>
      </c>
      <c r="R20" s="2">
        <f t="shared" si="11"/>
        <v>0</v>
      </c>
      <c r="S20" s="2">
        <f t="shared" si="11"/>
        <v>0</v>
      </c>
      <c r="T20" s="2">
        <f t="shared" si="11"/>
        <v>0</v>
      </c>
      <c r="U20" s="2">
        <f t="shared" si="11"/>
        <v>0</v>
      </c>
      <c r="V20" s="2">
        <f t="shared" si="11"/>
        <v>0</v>
      </c>
      <c r="W20" s="2">
        <f t="shared" si="11"/>
        <v>0</v>
      </c>
    </row>
    <row r="21" spans="1:23" s="2" customFormat="1" x14ac:dyDescent="0.3">
      <c r="A21" s="2" t="s">
        <v>42</v>
      </c>
      <c r="B21" s="2">
        <f t="shared" si="9"/>
        <v>0</v>
      </c>
      <c r="C21" s="2">
        <f t="shared" si="9"/>
        <v>0</v>
      </c>
      <c r="D21" s="2">
        <f t="shared" si="9"/>
        <v>0</v>
      </c>
      <c r="E21" s="2">
        <f t="shared" si="9"/>
        <v>0</v>
      </c>
      <c r="F21" s="2">
        <f t="shared" si="9"/>
        <v>0</v>
      </c>
      <c r="G21" s="2">
        <f t="shared" si="9"/>
        <v>0</v>
      </c>
      <c r="H21" s="2">
        <f t="shared" si="9"/>
        <v>0</v>
      </c>
      <c r="I21" s="2">
        <f t="shared" si="9"/>
        <v>0</v>
      </c>
      <c r="J21" s="2">
        <f t="shared" si="9"/>
        <v>0</v>
      </c>
      <c r="K21" s="2">
        <f t="shared" si="9"/>
        <v>0</v>
      </c>
      <c r="L21" s="2">
        <f t="shared" si="9"/>
        <v>680955.64368751296</v>
      </c>
      <c r="M21" s="2">
        <f t="shared" si="9"/>
        <v>0</v>
      </c>
      <c r="N21" s="2">
        <f t="shared" si="9"/>
        <v>0</v>
      </c>
      <c r="O21" s="2">
        <f t="shared" si="9"/>
        <v>0</v>
      </c>
      <c r="P21" s="2">
        <f t="shared" si="9"/>
        <v>0</v>
      </c>
      <c r="Q21" s="2">
        <f t="shared" si="9"/>
        <v>0</v>
      </c>
      <c r="R21" s="2">
        <f t="shared" si="11"/>
        <v>0</v>
      </c>
      <c r="S21" s="2">
        <f t="shared" si="11"/>
        <v>0</v>
      </c>
      <c r="T21" s="2">
        <f t="shared" si="11"/>
        <v>0</v>
      </c>
      <c r="U21" s="2">
        <f t="shared" si="11"/>
        <v>0</v>
      </c>
      <c r="V21" s="2">
        <f t="shared" si="11"/>
        <v>0</v>
      </c>
      <c r="W21" s="2">
        <f t="shared" si="11"/>
        <v>0</v>
      </c>
    </row>
    <row r="22" spans="1:23" s="2" customFormat="1" x14ac:dyDescent="0.3">
      <c r="A22" s="2" t="s">
        <v>43</v>
      </c>
      <c r="B22" s="2">
        <v>33.333333333333336</v>
      </c>
      <c r="C22" s="2">
        <v>0</v>
      </c>
      <c r="D22" s="2">
        <v>0</v>
      </c>
      <c r="E22" s="2">
        <v>200</v>
      </c>
      <c r="F22" s="2">
        <v>5320000</v>
      </c>
      <c r="G22" s="2">
        <v>27350000</v>
      </c>
      <c r="H22" s="2">
        <v>0</v>
      </c>
      <c r="I22" s="2">
        <v>0</v>
      </c>
      <c r="J22" s="2">
        <v>0</v>
      </c>
      <c r="K22" s="2">
        <v>0</v>
      </c>
      <c r="L22" s="2">
        <v>9936.7600353435118</v>
      </c>
      <c r="M22" s="2">
        <v>60211532.380249135</v>
      </c>
      <c r="N22" s="2">
        <v>534000</v>
      </c>
      <c r="O22" s="2">
        <v>0</v>
      </c>
      <c r="P22" s="2">
        <v>0</v>
      </c>
      <c r="Q22" s="2">
        <v>48800</v>
      </c>
      <c r="R22" s="2">
        <v>0</v>
      </c>
      <c r="S22" s="2">
        <v>0</v>
      </c>
      <c r="T22" s="2">
        <v>0</v>
      </c>
      <c r="U22" s="2">
        <v>0</v>
      </c>
      <c r="V22" s="2">
        <v>45400</v>
      </c>
      <c r="W22" s="2">
        <v>232400</v>
      </c>
    </row>
    <row r="23" spans="1:23" s="2" customFormat="1" x14ac:dyDescent="0.3">
      <c r="A23" s="2" t="s">
        <v>44</v>
      </c>
      <c r="B23" s="2">
        <v>0</v>
      </c>
      <c r="C23" s="2">
        <f t="shared" ref="C23:R26" si="12">C22/10</f>
        <v>0</v>
      </c>
      <c r="D23" s="2">
        <f t="shared" si="12"/>
        <v>0</v>
      </c>
      <c r="E23" s="2">
        <f t="shared" si="12"/>
        <v>20</v>
      </c>
      <c r="F23" s="2">
        <f t="shared" si="12"/>
        <v>532000</v>
      </c>
      <c r="G23" s="2">
        <f t="shared" si="12"/>
        <v>2735000</v>
      </c>
      <c r="H23" s="2">
        <f t="shared" si="12"/>
        <v>0</v>
      </c>
      <c r="I23" s="2">
        <f t="shared" si="12"/>
        <v>0</v>
      </c>
      <c r="J23" s="2">
        <f t="shared" si="12"/>
        <v>0</v>
      </c>
      <c r="K23" s="2">
        <f t="shared" si="12"/>
        <v>0</v>
      </c>
      <c r="L23" s="2">
        <f t="shared" si="12"/>
        <v>993.67600353435114</v>
      </c>
      <c r="M23" s="2">
        <f t="shared" si="12"/>
        <v>6021153.2380249137</v>
      </c>
      <c r="N23" s="2">
        <f t="shared" si="12"/>
        <v>53400</v>
      </c>
      <c r="O23" s="2">
        <f t="shared" si="12"/>
        <v>0</v>
      </c>
      <c r="P23" s="2">
        <f t="shared" si="12"/>
        <v>0</v>
      </c>
      <c r="Q23" s="2">
        <v>0</v>
      </c>
      <c r="R23" s="2">
        <f t="shared" si="12"/>
        <v>0</v>
      </c>
      <c r="S23" s="2">
        <f t="shared" ref="S23:W26" si="13">S22/10</f>
        <v>0</v>
      </c>
      <c r="T23" s="2">
        <f t="shared" si="13"/>
        <v>0</v>
      </c>
      <c r="U23" s="2">
        <f t="shared" si="13"/>
        <v>0</v>
      </c>
      <c r="V23" s="2">
        <v>0</v>
      </c>
      <c r="W23" s="2">
        <f t="shared" si="13"/>
        <v>23240</v>
      </c>
    </row>
    <row r="24" spans="1:23" s="2" customFormat="1" x14ac:dyDescent="0.3">
      <c r="A24" s="2" t="s">
        <v>45</v>
      </c>
      <c r="B24" s="2">
        <v>0</v>
      </c>
      <c r="C24" s="2">
        <f t="shared" si="12"/>
        <v>0</v>
      </c>
      <c r="D24" s="2">
        <f t="shared" si="12"/>
        <v>0</v>
      </c>
      <c r="E24" s="2">
        <v>0</v>
      </c>
      <c r="F24" s="2">
        <f t="shared" si="12"/>
        <v>53200</v>
      </c>
      <c r="G24" s="2">
        <f t="shared" si="12"/>
        <v>273500</v>
      </c>
      <c r="H24" s="2">
        <f t="shared" si="12"/>
        <v>0</v>
      </c>
      <c r="I24" s="2">
        <f t="shared" si="12"/>
        <v>0</v>
      </c>
      <c r="J24" s="2">
        <f t="shared" si="12"/>
        <v>0</v>
      </c>
      <c r="K24" s="2">
        <f t="shared" si="12"/>
        <v>0</v>
      </c>
      <c r="L24" s="2">
        <v>0</v>
      </c>
      <c r="M24" s="2">
        <f t="shared" si="12"/>
        <v>602115.32380249142</v>
      </c>
      <c r="N24" s="2">
        <v>0</v>
      </c>
      <c r="O24" s="2">
        <f t="shared" si="12"/>
        <v>0</v>
      </c>
      <c r="P24" s="2">
        <f t="shared" si="12"/>
        <v>0</v>
      </c>
      <c r="Q24" s="2">
        <f t="shared" si="12"/>
        <v>0</v>
      </c>
      <c r="R24" s="2">
        <f t="shared" si="12"/>
        <v>0</v>
      </c>
      <c r="S24" s="2">
        <f t="shared" si="13"/>
        <v>0</v>
      </c>
      <c r="T24" s="2">
        <f t="shared" si="13"/>
        <v>0</v>
      </c>
      <c r="U24" s="2">
        <f t="shared" si="13"/>
        <v>0</v>
      </c>
      <c r="V24" s="2">
        <f t="shared" si="13"/>
        <v>0</v>
      </c>
      <c r="W24" s="2">
        <f t="shared" si="13"/>
        <v>2324</v>
      </c>
    </row>
    <row r="25" spans="1:23" s="2" customFormat="1" x14ac:dyDescent="0.3">
      <c r="A25" s="2" t="s">
        <v>46</v>
      </c>
      <c r="B25" s="2">
        <f t="shared" ref="B25:Q28" si="14">B24/10</f>
        <v>0</v>
      </c>
      <c r="C25" s="2">
        <f t="shared" si="14"/>
        <v>0</v>
      </c>
      <c r="D25" s="2">
        <f t="shared" si="14"/>
        <v>0</v>
      </c>
      <c r="E25" s="2">
        <f t="shared" si="14"/>
        <v>0</v>
      </c>
      <c r="F25" s="2">
        <f t="shared" si="14"/>
        <v>5320</v>
      </c>
      <c r="G25" s="2">
        <v>0</v>
      </c>
      <c r="H25" s="2">
        <f t="shared" si="14"/>
        <v>0</v>
      </c>
      <c r="I25" s="2">
        <f t="shared" si="14"/>
        <v>0</v>
      </c>
      <c r="J25" s="2">
        <f t="shared" si="14"/>
        <v>0</v>
      </c>
      <c r="K25" s="2">
        <f t="shared" si="14"/>
        <v>0</v>
      </c>
      <c r="L25" s="2">
        <f t="shared" si="14"/>
        <v>0</v>
      </c>
      <c r="M25" s="2">
        <f t="shared" si="14"/>
        <v>60211.53238024914</v>
      </c>
      <c r="N25" s="2">
        <f t="shared" si="14"/>
        <v>0</v>
      </c>
      <c r="O25" s="2">
        <f t="shared" si="14"/>
        <v>0</v>
      </c>
      <c r="P25" s="2">
        <f t="shared" si="14"/>
        <v>0</v>
      </c>
      <c r="Q25" s="2">
        <f t="shared" si="14"/>
        <v>0</v>
      </c>
      <c r="R25" s="2">
        <f t="shared" si="12"/>
        <v>0</v>
      </c>
      <c r="S25" s="2">
        <f t="shared" si="13"/>
        <v>0</v>
      </c>
      <c r="T25" s="2">
        <f t="shared" si="13"/>
        <v>0</v>
      </c>
      <c r="U25" s="2">
        <f t="shared" si="13"/>
        <v>0</v>
      </c>
      <c r="V25" s="2">
        <f t="shared" si="13"/>
        <v>0</v>
      </c>
      <c r="W25" s="2">
        <v>0</v>
      </c>
    </row>
    <row r="26" spans="1:23" s="2" customFormat="1" x14ac:dyDescent="0.3">
      <c r="A26" s="2" t="s">
        <v>47</v>
      </c>
      <c r="B26" s="2">
        <f t="shared" si="14"/>
        <v>0</v>
      </c>
      <c r="C26" s="2">
        <f t="shared" si="14"/>
        <v>0</v>
      </c>
      <c r="D26" s="2">
        <f t="shared" si="14"/>
        <v>0</v>
      </c>
      <c r="E26" s="2">
        <f t="shared" si="14"/>
        <v>0</v>
      </c>
      <c r="F26" s="2">
        <f t="shared" si="14"/>
        <v>532</v>
      </c>
      <c r="G26" s="2">
        <f t="shared" si="14"/>
        <v>0</v>
      </c>
      <c r="H26" s="2">
        <f t="shared" si="14"/>
        <v>0</v>
      </c>
      <c r="I26" s="2">
        <f t="shared" si="14"/>
        <v>0</v>
      </c>
      <c r="J26" s="2">
        <f t="shared" si="14"/>
        <v>0</v>
      </c>
      <c r="K26" s="2">
        <f t="shared" si="14"/>
        <v>0</v>
      </c>
      <c r="L26" s="2">
        <f t="shared" si="14"/>
        <v>0</v>
      </c>
      <c r="M26" s="2">
        <f t="shared" si="14"/>
        <v>6021.1532380249137</v>
      </c>
      <c r="N26" s="2">
        <f t="shared" si="14"/>
        <v>0</v>
      </c>
      <c r="O26" s="2">
        <f t="shared" si="14"/>
        <v>0</v>
      </c>
      <c r="P26" s="2">
        <f t="shared" si="14"/>
        <v>0</v>
      </c>
      <c r="Q26" s="2">
        <f t="shared" si="14"/>
        <v>0</v>
      </c>
      <c r="R26" s="2">
        <f t="shared" si="12"/>
        <v>0</v>
      </c>
      <c r="S26" s="2">
        <f t="shared" si="13"/>
        <v>0</v>
      </c>
      <c r="T26" s="2">
        <f t="shared" si="13"/>
        <v>0</v>
      </c>
      <c r="U26" s="2">
        <f t="shared" si="13"/>
        <v>0</v>
      </c>
      <c r="V26" s="2">
        <f t="shared" si="13"/>
        <v>0</v>
      </c>
      <c r="W26" s="2">
        <f t="shared" si="13"/>
        <v>0</v>
      </c>
    </row>
    <row r="27" spans="1:23" s="2" customFormat="1" x14ac:dyDescent="0.3">
      <c r="A27" s="2" t="s">
        <v>48</v>
      </c>
      <c r="B27" s="2">
        <v>0</v>
      </c>
      <c r="C27" s="2">
        <v>0</v>
      </c>
      <c r="D27" s="2">
        <v>0</v>
      </c>
      <c r="E27" s="2">
        <v>0</v>
      </c>
      <c r="F27" s="2">
        <v>500000</v>
      </c>
      <c r="G27" s="2">
        <v>12436808.8666503</v>
      </c>
      <c r="H27" s="2">
        <v>3067.3261700889102</v>
      </c>
      <c r="I27" s="2">
        <v>0</v>
      </c>
      <c r="J27" s="2">
        <v>0</v>
      </c>
      <c r="K27" s="2">
        <v>846024298.4018122</v>
      </c>
      <c r="L27" s="2">
        <v>0</v>
      </c>
      <c r="M27" s="2">
        <v>0</v>
      </c>
      <c r="N27" s="2">
        <v>0</v>
      </c>
      <c r="O27" s="2">
        <v>790000</v>
      </c>
      <c r="P27" s="2">
        <v>17100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</row>
    <row r="28" spans="1:23" s="2" customFormat="1" x14ac:dyDescent="0.3">
      <c r="A28" s="2" t="s">
        <v>49</v>
      </c>
      <c r="B28" s="2">
        <f t="shared" ref="B28:Q31" si="15">B27/10</f>
        <v>0</v>
      </c>
      <c r="C28" s="2">
        <f t="shared" si="15"/>
        <v>0</v>
      </c>
      <c r="D28" s="2">
        <f t="shared" si="15"/>
        <v>0</v>
      </c>
      <c r="E28" s="2">
        <f t="shared" si="15"/>
        <v>0</v>
      </c>
      <c r="F28" s="2">
        <f t="shared" si="15"/>
        <v>50000</v>
      </c>
      <c r="G28" s="2">
        <f t="shared" si="15"/>
        <v>1243680.8866650299</v>
      </c>
      <c r="H28" s="2">
        <v>0</v>
      </c>
      <c r="I28" s="2">
        <f t="shared" si="15"/>
        <v>0</v>
      </c>
      <c r="J28" s="2">
        <f t="shared" si="15"/>
        <v>0</v>
      </c>
      <c r="K28" s="2">
        <f t="shared" si="15"/>
        <v>84602429.840181217</v>
      </c>
      <c r="L28" s="2">
        <f t="shared" si="15"/>
        <v>0</v>
      </c>
      <c r="M28" s="2">
        <f t="shared" si="15"/>
        <v>0</v>
      </c>
      <c r="N28" s="2">
        <f t="shared" si="15"/>
        <v>0</v>
      </c>
      <c r="O28" s="2">
        <f t="shared" si="15"/>
        <v>79000</v>
      </c>
      <c r="P28" s="2">
        <v>0</v>
      </c>
      <c r="Q28" s="2">
        <f t="shared" si="15"/>
        <v>0</v>
      </c>
      <c r="R28" s="2">
        <f t="shared" ref="R28:W31" si="16">R27/10</f>
        <v>0</v>
      </c>
      <c r="S28" s="2">
        <f t="shared" si="16"/>
        <v>0</v>
      </c>
      <c r="T28" s="2">
        <f t="shared" si="16"/>
        <v>0</v>
      </c>
      <c r="U28" s="2">
        <f t="shared" si="16"/>
        <v>0</v>
      </c>
      <c r="V28" s="2">
        <f t="shared" si="16"/>
        <v>0</v>
      </c>
      <c r="W28" s="2">
        <f t="shared" si="16"/>
        <v>0</v>
      </c>
    </row>
    <row r="29" spans="1:23" s="2" customFormat="1" x14ac:dyDescent="0.3">
      <c r="A29" s="2" t="s">
        <v>50</v>
      </c>
      <c r="B29" s="2">
        <f t="shared" si="15"/>
        <v>0</v>
      </c>
      <c r="C29" s="2">
        <f t="shared" si="15"/>
        <v>0</v>
      </c>
      <c r="D29" s="2">
        <f t="shared" si="15"/>
        <v>0</v>
      </c>
      <c r="E29" s="2">
        <f t="shared" si="15"/>
        <v>0</v>
      </c>
      <c r="F29" s="2">
        <f t="shared" si="15"/>
        <v>5000</v>
      </c>
      <c r="G29" s="2">
        <f t="shared" si="15"/>
        <v>124368.088666503</v>
      </c>
      <c r="H29" s="2">
        <f t="shared" si="15"/>
        <v>0</v>
      </c>
      <c r="I29" s="2">
        <f t="shared" si="15"/>
        <v>0</v>
      </c>
      <c r="J29" s="2">
        <f t="shared" si="15"/>
        <v>0</v>
      </c>
      <c r="K29" s="2">
        <f t="shared" si="15"/>
        <v>8460242.9840181209</v>
      </c>
      <c r="L29" s="2">
        <f t="shared" si="15"/>
        <v>0</v>
      </c>
      <c r="M29" s="2">
        <f t="shared" si="15"/>
        <v>0</v>
      </c>
      <c r="N29" s="2">
        <f t="shared" si="15"/>
        <v>0</v>
      </c>
      <c r="O29" s="2">
        <v>0</v>
      </c>
      <c r="P29" s="2">
        <f t="shared" si="15"/>
        <v>0</v>
      </c>
      <c r="Q29" s="2">
        <f t="shared" si="15"/>
        <v>0</v>
      </c>
      <c r="R29" s="2">
        <f t="shared" si="16"/>
        <v>0</v>
      </c>
      <c r="S29" s="2">
        <f t="shared" si="16"/>
        <v>0</v>
      </c>
      <c r="T29" s="2">
        <f t="shared" si="16"/>
        <v>0</v>
      </c>
      <c r="U29" s="2">
        <f t="shared" si="16"/>
        <v>0</v>
      </c>
      <c r="V29" s="2">
        <f t="shared" si="16"/>
        <v>0</v>
      </c>
      <c r="W29" s="2">
        <f t="shared" si="16"/>
        <v>0</v>
      </c>
    </row>
    <row r="30" spans="1:23" s="2" customFormat="1" x14ac:dyDescent="0.3">
      <c r="A30" s="2" t="s">
        <v>51</v>
      </c>
      <c r="B30" s="2">
        <f t="shared" si="15"/>
        <v>0</v>
      </c>
      <c r="C30" s="2">
        <f t="shared" si="15"/>
        <v>0</v>
      </c>
      <c r="D30" s="2">
        <f t="shared" si="15"/>
        <v>0</v>
      </c>
      <c r="E30" s="2">
        <f t="shared" si="15"/>
        <v>0</v>
      </c>
      <c r="F30" s="2">
        <f t="shared" si="15"/>
        <v>500</v>
      </c>
      <c r="G30" s="2">
        <v>0</v>
      </c>
      <c r="H30" s="2">
        <f t="shared" si="15"/>
        <v>0</v>
      </c>
      <c r="I30" s="2">
        <f t="shared" si="15"/>
        <v>0</v>
      </c>
      <c r="J30" s="2">
        <f t="shared" si="15"/>
        <v>0</v>
      </c>
      <c r="K30" s="2">
        <f t="shared" si="15"/>
        <v>846024.29840181209</v>
      </c>
      <c r="L30" s="2">
        <f t="shared" si="15"/>
        <v>0</v>
      </c>
      <c r="M30" s="2">
        <f t="shared" si="15"/>
        <v>0</v>
      </c>
      <c r="N30" s="2">
        <f t="shared" si="15"/>
        <v>0</v>
      </c>
      <c r="O30" s="2">
        <f t="shared" si="15"/>
        <v>0</v>
      </c>
      <c r="P30" s="2">
        <f t="shared" si="15"/>
        <v>0</v>
      </c>
      <c r="Q30" s="2">
        <f t="shared" si="15"/>
        <v>0</v>
      </c>
      <c r="R30" s="2">
        <f t="shared" si="16"/>
        <v>0</v>
      </c>
      <c r="S30" s="2">
        <f t="shared" si="16"/>
        <v>0</v>
      </c>
      <c r="T30" s="2">
        <f t="shared" si="16"/>
        <v>0</v>
      </c>
      <c r="U30" s="2">
        <f t="shared" si="16"/>
        <v>0</v>
      </c>
      <c r="V30" s="2">
        <f t="shared" si="16"/>
        <v>0</v>
      </c>
      <c r="W30" s="2">
        <f t="shared" si="16"/>
        <v>0</v>
      </c>
    </row>
    <row r="31" spans="1:23" s="2" customFormat="1" x14ac:dyDescent="0.3">
      <c r="A31" s="2" t="s">
        <v>52</v>
      </c>
      <c r="B31" s="2">
        <f t="shared" si="15"/>
        <v>0</v>
      </c>
      <c r="C31" s="2">
        <f t="shared" si="15"/>
        <v>0</v>
      </c>
      <c r="D31" s="2">
        <f t="shared" si="15"/>
        <v>0</v>
      </c>
      <c r="E31" s="2">
        <f t="shared" si="15"/>
        <v>0</v>
      </c>
      <c r="F31" s="2">
        <f t="shared" si="15"/>
        <v>50</v>
      </c>
      <c r="G31" s="2">
        <f t="shared" si="15"/>
        <v>0</v>
      </c>
      <c r="H31" s="2">
        <f t="shared" si="15"/>
        <v>0</v>
      </c>
      <c r="I31" s="2">
        <f t="shared" si="15"/>
        <v>0</v>
      </c>
      <c r="J31" s="2">
        <f t="shared" si="15"/>
        <v>0</v>
      </c>
      <c r="K31" s="2">
        <f t="shared" si="15"/>
        <v>84602.429840181212</v>
      </c>
      <c r="L31" s="2">
        <f t="shared" si="15"/>
        <v>0</v>
      </c>
      <c r="M31" s="2">
        <f t="shared" si="15"/>
        <v>0</v>
      </c>
      <c r="N31" s="2">
        <f t="shared" si="15"/>
        <v>0</v>
      </c>
      <c r="O31" s="2">
        <f t="shared" si="15"/>
        <v>0</v>
      </c>
      <c r="P31" s="2">
        <f t="shared" si="15"/>
        <v>0</v>
      </c>
      <c r="Q31" s="2">
        <f t="shared" si="15"/>
        <v>0</v>
      </c>
      <c r="R31" s="2">
        <f t="shared" si="16"/>
        <v>0</v>
      </c>
      <c r="S31" s="2">
        <f t="shared" si="16"/>
        <v>0</v>
      </c>
      <c r="T31" s="2">
        <f t="shared" si="16"/>
        <v>0</v>
      </c>
      <c r="U31" s="2">
        <f t="shared" si="16"/>
        <v>0</v>
      </c>
      <c r="V31" s="2">
        <f t="shared" si="16"/>
        <v>0</v>
      </c>
      <c r="W31" s="2">
        <f t="shared" si="16"/>
        <v>0</v>
      </c>
    </row>
    <row r="32" spans="1:23" s="2" customFormat="1" x14ac:dyDescent="0.3">
      <c r="A32" s="2" t="s">
        <v>53</v>
      </c>
      <c r="B32" s="2">
        <v>0</v>
      </c>
      <c r="C32" s="2">
        <v>0</v>
      </c>
      <c r="D32" s="2">
        <v>240</v>
      </c>
      <c r="E32" s="2">
        <v>0</v>
      </c>
      <c r="F32" s="2">
        <v>75000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197268982.33824801</v>
      </c>
      <c r="M32" s="2">
        <v>370.80668818132176</v>
      </c>
      <c r="N32" s="2">
        <v>19600</v>
      </c>
      <c r="O32" s="2">
        <v>0</v>
      </c>
      <c r="P32" s="2">
        <v>574000</v>
      </c>
      <c r="Q32" s="2">
        <v>614000</v>
      </c>
      <c r="R32" s="2">
        <v>0</v>
      </c>
      <c r="S32" s="2">
        <v>0</v>
      </c>
      <c r="T32" s="2">
        <v>0</v>
      </c>
      <c r="U32" s="2">
        <v>170</v>
      </c>
      <c r="V32" s="2">
        <v>0</v>
      </c>
      <c r="W32" s="2">
        <v>45200</v>
      </c>
    </row>
    <row r="33" spans="1:23" s="2" customFormat="1" x14ac:dyDescent="0.3">
      <c r="A33" s="2" t="s">
        <v>54</v>
      </c>
      <c r="B33" s="2">
        <f>B32/10</f>
        <v>0</v>
      </c>
      <c r="C33" s="2">
        <f>C32/10</f>
        <v>0</v>
      </c>
      <c r="D33" s="2">
        <f>D32/10</f>
        <v>24</v>
      </c>
      <c r="E33" s="2">
        <f t="shared" ref="E33:T36" si="17">E32/10</f>
        <v>0</v>
      </c>
      <c r="F33" s="2">
        <f t="shared" si="17"/>
        <v>7500</v>
      </c>
      <c r="G33" s="2">
        <f t="shared" si="17"/>
        <v>0</v>
      </c>
      <c r="H33" s="2">
        <f t="shared" si="17"/>
        <v>0</v>
      </c>
      <c r="I33" s="2">
        <f t="shared" si="17"/>
        <v>0</v>
      </c>
      <c r="J33" s="2">
        <f t="shared" si="17"/>
        <v>0</v>
      </c>
      <c r="K33" s="2">
        <f t="shared" si="17"/>
        <v>0</v>
      </c>
      <c r="L33" s="2">
        <f t="shared" si="17"/>
        <v>19726898.233824801</v>
      </c>
      <c r="M33" s="2">
        <v>0</v>
      </c>
      <c r="N33" s="2">
        <v>0</v>
      </c>
      <c r="O33" s="2">
        <f t="shared" si="17"/>
        <v>0</v>
      </c>
      <c r="P33" s="2">
        <f t="shared" si="17"/>
        <v>57400</v>
      </c>
      <c r="Q33" s="2">
        <f t="shared" si="17"/>
        <v>61400</v>
      </c>
      <c r="R33" s="2">
        <f t="shared" si="17"/>
        <v>0</v>
      </c>
      <c r="S33" s="2">
        <f t="shared" si="17"/>
        <v>0</v>
      </c>
      <c r="T33" s="2">
        <f t="shared" si="17"/>
        <v>0</v>
      </c>
      <c r="U33" s="2">
        <v>0</v>
      </c>
      <c r="V33" s="2">
        <f t="shared" ref="V33:W36" si="18">V32/10</f>
        <v>0</v>
      </c>
      <c r="W33" s="2">
        <f t="shared" si="18"/>
        <v>4520</v>
      </c>
    </row>
    <row r="34" spans="1:23" s="2" customFormat="1" x14ac:dyDescent="0.3">
      <c r="A34" s="2" t="s">
        <v>55</v>
      </c>
      <c r="B34" s="2">
        <f t="shared" ref="B34:D36" si="19">B33/10</f>
        <v>0</v>
      </c>
      <c r="C34" s="2">
        <f t="shared" si="19"/>
        <v>0</v>
      </c>
      <c r="D34" s="2">
        <v>0</v>
      </c>
      <c r="E34" s="2">
        <f t="shared" si="17"/>
        <v>0</v>
      </c>
      <c r="F34" s="2">
        <f t="shared" si="17"/>
        <v>750</v>
      </c>
      <c r="G34" s="2">
        <f t="shared" si="17"/>
        <v>0</v>
      </c>
      <c r="H34" s="2">
        <f t="shared" si="17"/>
        <v>0</v>
      </c>
      <c r="I34" s="2">
        <f t="shared" si="17"/>
        <v>0</v>
      </c>
      <c r="J34" s="2">
        <f t="shared" si="17"/>
        <v>0</v>
      </c>
      <c r="K34" s="2">
        <f t="shared" si="17"/>
        <v>0</v>
      </c>
      <c r="L34" s="2">
        <f t="shared" si="17"/>
        <v>1972689.8233824801</v>
      </c>
      <c r="M34" s="2">
        <f t="shared" si="17"/>
        <v>0</v>
      </c>
      <c r="N34" s="2">
        <f t="shared" si="17"/>
        <v>0</v>
      </c>
      <c r="O34" s="2">
        <f t="shared" si="17"/>
        <v>0</v>
      </c>
      <c r="P34" s="2">
        <v>0</v>
      </c>
      <c r="Q34" s="2">
        <v>0</v>
      </c>
      <c r="R34" s="2">
        <f t="shared" si="17"/>
        <v>0</v>
      </c>
      <c r="S34" s="2">
        <f t="shared" si="17"/>
        <v>0</v>
      </c>
      <c r="T34" s="2">
        <f t="shared" si="17"/>
        <v>0</v>
      </c>
      <c r="U34" s="2">
        <v>0</v>
      </c>
      <c r="V34" s="2">
        <f t="shared" si="18"/>
        <v>0</v>
      </c>
      <c r="W34" s="2">
        <v>0</v>
      </c>
    </row>
    <row r="35" spans="1:23" s="2" customFormat="1" x14ac:dyDescent="0.3">
      <c r="A35" s="2" t="s">
        <v>56</v>
      </c>
      <c r="B35" s="2">
        <f t="shared" si="19"/>
        <v>0</v>
      </c>
      <c r="C35" s="2">
        <f t="shared" si="19"/>
        <v>0</v>
      </c>
      <c r="D35" s="2">
        <f t="shared" si="19"/>
        <v>0</v>
      </c>
      <c r="E35" s="2">
        <f t="shared" si="17"/>
        <v>0</v>
      </c>
      <c r="F35" s="2">
        <f t="shared" si="17"/>
        <v>75</v>
      </c>
      <c r="G35" s="2">
        <f t="shared" si="17"/>
        <v>0</v>
      </c>
      <c r="H35" s="2">
        <f t="shared" si="17"/>
        <v>0</v>
      </c>
      <c r="I35" s="2">
        <f t="shared" si="17"/>
        <v>0</v>
      </c>
      <c r="J35" s="2">
        <f t="shared" si="17"/>
        <v>0</v>
      </c>
      <c r="K35" s="2">
        <f t="shared" si="17"/>
        <v>0</v>
      </c>
      <c r="L35" s="2">
        <f t="shared" si="17"/>
        <v>197268.982338248</v>
      </c>
      <c r="M35" s="2">
        <f t="shared" si="17"/>
        <v>0</v>
      </c>
      <c r="N35" s="2">
        <f t="shared" si="17"/>
        <v>0</v>
      </c>
      <c r="O35" s="2">
        <f t="shared" si="17"/>
        <v>0</v>
      </c>
      <c r="P35" s="2">
        <f t="shared" si="17"/>
        <v>0</v>
      </c>
      <c r="Q35" s="2">
        <f t="shared" si="17"/>
        <v>0</v>
      </c>
      <c r="R35" s="2">
        <f t="shared" si="17"/>
        <v>0</v>
      </c>
      <c r="S35" s="2">
        <f t="shared" si="17"/>
        <v>0</v>
      </c>
      <c r="T35" s="2">
        <f t="shared" si="17"/>
        <v>0</v>
      </c>
      <c r="U35" s="2">
        <f t="shared" ref="U35:W38" si="20">U34/10</f>
        <v>0</v>
      </c>
      <c r="V35" s="2">
        <f t="shared" si="20"/>
        <v>0</v>
      </c>
      <c r="W35" s="2">
        <f t="shared" si="20"/>
        <v>0</v>
      </c>
    </row>
    <row r="36" spans="1:23" s="2" customFormat="1" x14ac:dyDescent="0.3">
      <c r="A36" s="2" t="s">
        <v>57</v>
      </c>
      <c r="B36" s="2">
        <f t="shared" si="19"/>
        <v>0</v>
      </c>
      <c r="C36" s="2">
        <f t="shared" si="19"/>
        <v>0</v>
      </c>
      <c r="D36" s="2">
        <f t="shared" si="19"/>
        <v>0</v>
      </c>
      <c r="E36" s="2">
        <f t="shared" si="17"/>
        <v>0</v>
      </c>
      <c r="F36" s="2">
        <v>0</v>
      </c>
      <c r="G36" s="2">
        <f t="shared" si="17"/>
        <v>0</v>
      </c>
      <c r="H36" s="2">
        <f t="shared" si="17"/>
        <v>0</v>
      </c>
      <c r="I36" s="2">
        <f t="shared" si="17"/>
        <v>0</v>
      </c>
      <c r="J36" s="2">
        <f t="shared" si="17"/>
        <v>0</v>
      </c>
      <c r="K36" s="2">
        <f t="shared" si="17"/>
        <v>0</v>
      </c>
      <c r="L36" s="2">
        <f t="shared" si="17"/>
        <v>19726.898233824799</v>
      </c>
      <c r="M36" s="2">
        <f t="shared" si="17"/>
        <v>0</v>
      </c>
      <c r="N36" s="2">
        <f t="shared" si="17"/>
        <v>0</v>
      </c>
      <c r="O36" s="2">
        <f t="shared" si="17"/>
        <v>0</v>
      </c>
      <c r="P36" s="2">
        <f t="shared" si="17"/>
        <v>0</v>
      </c>
      <c r="Q36" s="2">
        <f t="shared" si="17"/>
        <v>0</v>
      </c>
      <c r="R36" s="2">
        <f t="shared" si="17"/>
        <v>0</v>
      </c>
      <c r="S36" s="2">
        <f t="shared" si="17"/>
        <v>0</v>
      </c>
      <c r="T36" s="2">
        <f t="shared" si="17"/>
        <v>0</v>
      </c>
      <c r="U36" s="2">
        <f t="shared" si="20"/>
        <v>0</v>
      </c>
      <c r="V36" s="2">
        <f t="shared" si="20"/>
        <v>0</v>
      </c>
      <c r="W36" s="2">
        <f t="shared" si="20"/>
        <v>0</v>
      </c>
    </row>
    <row r="37" spans="1:23" s="2" customFormat="1" x14ac:dyDescent="0.3">
      <c r="A37" s="2" t="s">
        <v>58</v>
      </c>
      <c r="B37" s="2">
        <v>0</v>
      </c>
      <c r="C37" s="2">
        <v>0</v>
      </c>
      <c r="D37" s="2">
        <v>0</v>
      </c>
      <c r="E37" s="2">
        <v>0</v>
      </c>
      <c r="F37" s="2">
        <v>6500000</v>
      </c>
      <c r="G37" s="2">
        <v>0</v>
      </c>
      <c r="H37" s="2">
        <v>12850000</v>
      </c>
      <c r="I37" s="2">
        <v>0</v>
      </c>
      <c r="J37" s="2">
        <v>0</v>
      </c>
      <c r="K37" s="2">
        <v>265686875.07816416</v>
      </c>
      <c r="L37" s="2">
        <v>0</v>
      </c>
      <c r="M37" s="2">
        <v>0</v>
      </c>
      <c r="N37" s="2">
        <v>0</v>
      </c>
      <c r="O37" s="2">
        <v>2500000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</row>
    <row r="38" spans="1:23" s="2" customFormat="1" x14ac:dyDescent="0.3">
      <c r="A38" s="2" t="s">
        <v>59</v>
      </c>
      <c r="B38" s="2">
        <f t="shared" ref="B38:Q41" si="21">B37/10</f>
        <v>0</v>
      </c>
      <c r="C38" s="2">
        <f t="shared" si="21"/>
        <v>0</v>
      </c>
      <c r="D38" s="2">
        <f t="shared" si="21"/>
        <v>0</v>
      </c>
      <c r="E38" s="2">
        <f t="shared" si="21"/>
        <v>0</v>
      </c>
      <c r="F38" s="2">
        <f t="shared" si="21"/>
        <v>650000</v>
      </c>
      <c r="G38" s="2">
        <f t="shared" si="21"/>
        <v>0</v>
      </c>
      <c r="H38" s="2">
        <f t="shared" si="21"/>
        <v>1285000</v>
      </c>
      <c r="I38" s="2">
        <f t="shared" si="21"/>
        <v>0</v>
      </c>
      <c r="J38" s="2">
        <f t="shared" si="21"/>
        <v>0</v>
      </c>
      <c r="K38" s="2">
        <f t="shared" si="21"/>
        <v>26568687.507816415</v>
      </c>
      <c r="L38" s="2">
        <f t="shared" si="21"/>
        <v>0</v>
      </c>
      <c r="M38" s="2">
        <f t="shared" si="21"/>
        <v>0</v>
      </c>
      <c r="N38" s="2">
        <f t="shared" si="21"/>
        <v>0</v>
      </c>
      <c r="O38" s="2">
        <f t="shared" si="21"/>
        <v>250000</v>
      </c>
      <c r="P38" s="2">
        <f t="shared" si="21"/>
        <v>0</v>
      </c>
      <c r="Q38" s="2">
        <f t="shared" si="21"/>
        <v>0</v>
      </c>
      <c r="R38" s="2">
        <f t="shared" ref="R38:W41" si="22">R37/10</f>
        <v>0</v>
      </c>
      <c r="S38" s="2">
        <f t="shared" si="22"/>
        <v>0</v>
      </c>
      <c r="T38" s="2">
        <f t="shared" si="22"/>
        <v>0</v>
      </c>
      <c r="U38" s="2">
        <f t="shared" si="22"/>
        <v>0</v>
      </c>
      <c r="V38" s="2">
        <f t="shared" si="22"/>
        <v>0</v>
      </c>
      <c r="W38" s="2">
        <f t="shared" si="22"/>
        <v>0</v>
      </c>
    </row>
    <row r="39" spans="1:23" s="2" customFormat="1" x14ac:dyDescent="0.3">
      <c r="A39" s="2" t="s">
        <v>60</v>
      </c>
      <c r="B39" s="2">
        <f t="shared" si="21"/>
        <v>0</v>
      </c>
      <c r="C39" s="2">
        <f t="shared" si="21"/>
        <v>0</v>
      </c>
      <c r="D39" s="2">
        <f t="shared" si="21"/>
        <v>0</v>
      </c>
      <c r="E39" s="2">
        <f t="shared" si="21"/>
        <v>0</v>
      </c>
      <c r="F39" s="2">
        <f t="shared" si="21"/>
        <v>65000</v>
      </c>
      <c r="G39" s="2">
        <f t="shared" si="21"/>
        <v>0</v>
      </c>
      <c r="H39" s="2">
        <f t="shared" si="21"/>
        <v>128500</v>
      </c>
      <c r="I39" s="2">
        <f t="shared" si="21"/>
        <v>0</v>
      </c>
      <c r="J39" s="2">
        <f t="shared" si="21"/>
        <v>0</v>
      </c>
      <c r="K39" s="2">
        <f t="shared" si="21"/>
        <v>2656868.7507816413</v>
      </c>
      <c r="L39" s="2">
        <f t="shared" si="21"/>
        <v>0</v>
      </c>
      <c r="M39" s="2">
        <f t="shared" si="21"/>
        <v>0</v>
      </c>
      <c r="N39" s="2">
        <f t="shared" si="21"/>
        <v>0</v>
      </c>
      <c r="O39" s="2">
        <f t="shared" si="21"/>
        <v>25000</v>
      </c>
      <c r="P39" s="2">
        <f t="shared" si="21"/>
        <v>0</v>
      </c>
      <c r="Q39" s="2">
        <f t="shared" si="21"/>
        <v>0</v>
      </c>
      <c r="R39" s="2">
        <f t="shared" si="22"/>
        <v>0</v>
      </c>
      <c r="S39" s="2">
        <f t="shared" si="22"/>
        <v>0</v>
      </c>
      <c r="T39" s="2">
        <f t="shared" si="22"/>
        <v>0</v>
      </c>
      <c r="U39" s="2">
        <f t="shared" si="22"/>
        <v>0</v>
      </c>
      <c r="V39" s="2">
        <f t="shared" si="22"/>
        <v>0</v>
      </c>
      <c r="W39" s="2">
        <f t="shared" si="22"/>
        <v>0</v>
      </c>
    </row>
    <row r="40" spans="1:23" s="2" customFormat="1" x14ac:dyDescent="0.3">
      <c r="A40" s="2" t="s">
        <v>61</v>
      </c>
      <c r="B40" s="2">
        <f t="shared" si="21"/>
        <v>0</v>
      </c>
      <c r="C40" s="2">
        <f t="shared" si="21"/>
        <v>0</v>
      </c>
      <c r="D40" s="2">
        <f t="shared" si="21"/>
        <v>0</v>
      </c>
      <c r="E40" s="2">
        <f t="shared" si="21"/>
        <v>0</v>
      </c>
      <c r="F40" s="2">
        <f t="shared" si="21"/>
        <v>6500</v>
      </c>
      <c r="G40" s="2">
        <f t="shared" si="21"/>
        <v>0</v>
      </c>
      <c r="H40" s="2">
        <v>0</v>
      </c>
      <c r="I40" s="2">
        <f t="shared" si="21"/>
        <v>0</v>
      </c>
      <c r="J40" s="2">
        <f t="shared" si="21"/>
        <v>0</v>
      </c>
      <c r="K40" s="2">
        <f t="shared" si="21"/>
        <v>265686.87507816416</v>
      </c>
      <c r="L40" s="2">
        <f t="shared" si="21"/>
        <v>0</v>
      </c>
      <c r="M40" s="2">
        <f t="shared" si="21"/>
        <v>0</v>
      </c>
      <c r="N40" s="2">
        <f t="shared" si="21"/>
        <v>0</v>
      </c>
      <c r="O40" s="2">
        <v>0</v>
      </c>
      <c r="P40" s="2">
        <f t="shared" si="21"/>
        <v>0</v>
      </c>
      <c r="Q40" s="2">
        <f t="shared" si="21"/>
        <v>0</v>
      </c>
      <c r="R40" s="2">
        <f t="shared" si="22"/>
        <v>0</v>
      </c>
      <c r="S40" s="2">
        <f t="shared" si="22"/>
        <v>0</v>
      </c>
      <c r="T40" s="2">
        <f t="shared" si="22"/>
        <v>0</v>
      </c>
      <c r="U40" s="2">
        <f t="shared" si="22"/>
        <v>0</v>
      </c>
      <c r="V40" s="2">
        <f t="shared" si="22"/>
        <v>0</v>
      </c>
      <c r="W40" s="2">
        <f t="shared" si="22"/>
        <v>0</v>
      </c>
    </row>
    <row r="41" spans="1:23" s="2" customFormat="1" x14ac:dyDescent="0.3">
      <c r="A41" s="2" t="s">
        <v>62</v>
      </c>
      <c r="B41" s="2">
        <f t="shared" si="21"/>
        <v>0</v>
      </c>
      <c r="C41" s="2">
        <f t="shared" si="21"/>
        <v>0</v>
      </c>
      <c r="D41" s="2">
        <f t="shared" si="21"/>
        <v>0</v>
      </c>
      <c r="E41" s="2">
        <f t="shared" si="21"/>
        <v>0</v>
      </c>
      <c r="F41" s="2">
        <f t="shared" si="21"/>
        <v>650</v>
      </c>
      <c r="G41" s="2">
        <f t="shared" si="21"/>
        <v>0</v>
      </c>
      <c r="H41" s="2">
        <f t="shared" si="21"/>
        <v>0</v>
      </c>
      <c r="I41" s="2">
        <f t="shared" si="21"/>
        <v>0</v>
      </c>
      <c r="J41" s="2">
        <f t="shared" si="21"/>
        <v>0</v>
      </c>
      <c r="K41" s="2">
        <f t="shared" si="21"/>
        <v>26568.687507816416</v>
      </c>
      <c r="L41" s="2">
        <f t="shared" si="21"/>
        <v>0</v>
      </c>
      <c r="M41" s="2">
        <f t="shared" si="21"/>
        <v>0</v>
      </c>
      <c r="N41" s="2">
        <f t="shared" si="21"/>
        <v>0</v>
      </c>
      <c r="O41" s="2">
        <f t="shared" si="21"/>
        <v>0</v>
      </c>
      <c r="P41" s="2">
        <f t="shared" si="21"/>
        <v>0</v>
      </c>
      <c r="Q41" s="2">
        <f t="shared" si="21"/>
        <v>0</v>
      </c>
      <c r="R41" s="2">
        <f t="shared" si="22"/>
        <v>0</v>
      </c>
      <c r="S41" s="2">
        <f t="shared" si="22"/>
        <v>0</v>
      </c>
      <c r="T41" s="2">
        <f t="shared" si="22"/>
        <v>0</v>
      </c>
      <c r="U41" s="2">
        <f t="shared" si="22"/>
        <v>0</v>
      </c>
      <c r="V41" s="2">
        <f t="shared" si="22"/>
        <v>0</v>
      </c>
      <c r="W41" s="2">
        <f t="shared" si="22"/>
        <v>0</v>
      </c>
    </row>
    <row r="42" spans="1:23" s="2" customFormat="1" x14ac:dyDescent="0.3">
      <c r="A42" s="2" t="s">
        <v>63</v>
      </c>
      <c r="B42" s="2">
        <v>0</v>
      </c>
      <c r="C42" s="2">
        <v>0</v>
      </c>
      <c r="D42" s="2">
        <v>0</v>
      </c>
      <c r="E42" s="2">
        <v>80.952380952380949</v>
      </c>
      <c r="F42" s="2">
        <v>1050000</v>
      </c>
      <c r="G42" s="2">
        <v>0</v>
      </c>
      <c r="H42" s="2">
        <v>0</v>
      </c>
      <c r="I42" s="2">
        <v>0</v>
      </c>
      <c r="J42" s="2">
        <v>33052320.852907799</v>
      </c>
      <c r="K42" s="2">
        <v>0</v>
      </c>
      <c r="L42" s="2">
        <v>0</v>
      </c>
      <c r="M42" s="2">
        <v>11249258.135160863</v>
      </c>
      <c r="N42" s="2">
        <v>0</v>
      </c>
      <c r="O42" s="2">
        <v>0</v>
      </c>
      <c r="P42" s="2">
        <v>0</v>
      </c>
      <c r="Q42" s="2">
        <v>737000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</row>
    <row r="43" spans="1:23" s="2" customFormat="1" x14ac:dyDescent="0.3">
      <c r="A43" s="2" t="s">
        <v>64</v>
      </c>
      <c r="B43" s="2">
        <f t="shared" ref="B43:Q46" si="23">B42/10</f>
        <v>0</v>
      </c>
      <c r="C43" s="2">
        <f t="shared" si="23"/>
        <v>0</v>
      </c>
      <c r="D43" s="2">
        <f t="shared" si="23"/>
        <v>0</v>
      </c>
      <c r="E43" s="2">
        <f t="shared" si="23"/>
        <v>8.0952380952380949</v>
      </c>
      <c r="F43" s="2">
        <f t="shared" si="23"/>
        <v>105000</v>
      </c>
      <c r="G43" s="2">
        <f t="shared" si="23"/>
        <v>0</v>
      </c>
      <c r="H43" s="2">
        <f t="shared" si="23"/>
        <v>0</v>
      </c>
      <c r="I43" s="2">
        <f t="shared" si="23"/>
        <v>0</v>
      </c>
      <c r="J43" s="2">
        <f t="shared" si="23"/>
        <v>3305232.0852907798</v>
      </c>
      <c r="K43" s="2">
        <f t="shared" si="23"/>
        <v>0</v>
      </c>
      <c r="L43" s="2">
        <f t="shared" si="23"/>
        <v>0</v>
      </c>
      <c r="M43" s="2">
        <f t="shared" si="23"/>
        <v>1124925.8135160864</v>
      </c>
      <c r="N43" s="2">
        <f t="shared" si="23"/>
        <v>0</v>
      </c>
      <c r="O43" s="2">
        <f t="shared" si="23"/>
        <v>0</v>
      </c>
      <c r="P43" s="2">
        <f t="shared" si="23"/>
        <v>0</v>
      </c>
      <c r="Q43" s="2">
        <f t="shared" si="23"/>
        <v>73700</v>
      </c>
      <c r="R43" s="2">
        <f t="shared" ref="R43:W46" si="24">R42/10</f>
        <v>0</v>
      </c>
      <c r="S43" s="2">
        <f t="shared" si="24"/>
        <v>0</v>
      </c>
      <c r="T43" s="2">
        <f t="shared" si="24"/>
        <v>0</v>
      </c>
      <c r="U43" s="2">
        <f t="shared" si="24"/>
        <v>0</v>
      </c>
      <c r="V43" s="2">
        <f t="shared" si="24"/>
        <v>0</v>
      </c>
      <c r="W43" s="2">
        <f t="shared" si="24"/>
        <v>0</v>
      </c>
    </row>
    <row r="44" spans="1:23" s="2" customFormat="1" x14ac:dyDescent="0.3">
      <c r="A44" s="2" t="s">
        <v>65</v>
      </c>
      <c r="B44" s="2">
        <f t="shared" si="23"/>
        <v>0</v>
      </c>
      <c r="C44" s="2">
        <f t="shared" si="23"/>
        <v>0</v>
      </c>
      <c r="D44" s="2">
        <f t="shared" si="23"/>
        <v>0</v>
      </c>
      <c r="E44" s="2">
        <v>0</v>
      </c>
      <c r="F44" s="2">
        <f t="shared" si="23"/>
        <v>10500</v>
      </c>
      <c r="G44" s="2">
        <f t="shared" si="23"/>
        <v>0</v>
      </c>
      <c r="H44" s="2">
        <f t="shared" si="23"/>
        <v>0</v>
      </c>
      <c r="I44" s="2">
        <f t="shared" si="23"/>
        <v>0</v>
      </c>
      <c r="J44" s="2">
        <f t="shared" si="23"/>
        <v>330523.20852907799</v>
      </c>
      <c r="K44" s="2">
        <f t="shared" si="23"/>
        <v>0</v>
      </c>
      <c r="L44" s="2">
        <f t="shared" si="23"/>
        <v>0</v>
      </c>
      <c r="M44" s="2">
        <f t="shared" si="23"/>
        <v>112492.58135160865</v>
      </c>
      <c r="N44" s="2">
        <f t="shared" si="23"/>
        <v>0</v>
      </c>
      <c r="O44" s="2">
        <f t="shared" si="23"/>
        <v>0</v>
      </c>
      <c r="P44" s="2">
        <f t="shared" si="23"/>
        <v>0</v>
      </c>
      <c r="Q44" s="2">
        <v>0</v>
      </c>
      <c r="R44" s="2">
        <f t="shared" si="24"/>
        <v>0</v>
      </c>
      <c r="S44" s="2">
        <f t="shared" si="24"/>
        <v>0</v>
      </c>
      <c r="T44" s="2">
        <f t="shared" si="24"/>
        <v>0</v>
      </c>
      <c r="U44" s="2">
        <f t="shared" si="24"/>
        <v>0</v>
      </c>
      <c r="V44" s="2">
        <f t="shared" si="24"/>
        <v>0</v>
      </c>
      <c r="W44" s="2">
        <f t="shared" si="24"/>
        <v>0</v>
      </c>
    </row>
    <row r="45" spans="1:23" s="2" customFormat="1" x14ac:dyDescent="0.3">
      <c r="A45" s="2" t="s">
        <v>66</v>
      </c>
      <c r="B45" s="2">
        <f t="shared" si="23"/>
        <v>0</v>
      </c>
      <c r="C45" s="2">
        <f t="shared" si="23"/>
        <v>0</v>
      </c>
      <c r="D45" s="2">
        <f t="shared" si="23"/>
        <v>0</v>
      </c>
      <c r="E45" s="2">
        <f t="shared" si="23"/>
        <v>0</v>
      </c>
      <c r="F45" s="2">
        <f t="shared" si="23"/>
        <v>1050</v>
      </c>
      <c r="G45" s="2">
        <f t="shared" si="23"/>
        <v>0</v>
      </c>
      <c r="H45" s="2">
        <f t="shared" si="23"/>
        <v>0</v>
      </c>
      <c r="I45" s="2">
        <f t="shared" si="23"/>
        <v>0</v>
      </c>
      <c r="J45" s="2">
        <v>0</v>
      </c>
      <c r="K45" s="2">
        <f t="shared" si="23"/>
        <v>0</v>
      </c>
      <c r="L45" s="2">
        <f t="shared" si="23"/>
        <v>0</v>
      </c>
      <c r="M45" s="2">
        <f t="shared" si="23"/>
        <v>11249.258135160864</v>
      </c>
      <c r="N45" s="2">
        <f t="shared" si="23"/>
        <v>0</v>
      </c>
      <c r="O45" s="2">
        <f t="shared" si="23"/>
        <v>0</v>
      </c>
      <c r="P45" s="2">
        <f t="shared" si="23"/>
        <v>0</v>
      </c>
      <c r="Q45" s="2">
        <f t="shared" si="23"/>
        <v>0</v>
      </c>
      <c r="R45" s="2">
        <f t="shared" si="24"/>
        <v>0</v>
      </c>
      <c r="S45" s="2">
        <f t="shared" si="24"/>
        <v>0</v>
      </c>
      <c r="T45" s="2">
        <f t="shared" si="24"/>
        <v>0</v>
      </c>
      <c r="U45" s="2">
        <f t="shared" si="24"/>
        <v>0</v>
      </c>
      <c r="V45" s="2">
        <f t="shared" si="24"/>
        <v>0</v>
      </c>
      <c r="W45" s="2">
        <f t="shared" si="24"/>
        <v>0</v>
      </c>
    </row>
    <row r="46" spans="1:23" s="2" customFormat="1" x14ac:dyDescent="0.3">
      <c r="A46" s="2" t="s">
        <v>67</v>
      </c>
      <c r="B46" s="2">
        <f t="shared" si="23"/>
        <v>0</v>
      </c>
      <c r="C46" s="2">
        <f t="shared" si="23"/>
        <v>0</v>
      </c>
      <c r="D46" s="2">
        <f t="shared" si="23"/>
        <v>0</v>
      </c>
      <c r="E46" s="2">
        <f t="shared" si="23"/>
        <v>0</v>
      </c>
      <c r="F46" s="2">
        <f t="shared" si="23"/>
        <v>105</v>
      </c>
      <c r="G46" s="2">
        <f t="shared" si="23"/>
        <v>0</v>
      </c>
      <c r="H46" s="2">
        <f t="shared" si="23"/>
        <v>0</v>
      </c>
      <c r="I46" s="2">
        <f t="shared" si="23"/>
        <v>0</v>
      </c>
      <c r="J46" s="2">
        <v>0</v>
      </c>
      <c r="K46" s="2">
        <f t="shared" si="23"/>
        <v>0</v>
      </c>
      <c r="L46" s="2">
        <f t="shared" si="23"/>
        <v>0</v>
      </c>
      <c r="M46" s="2">
        <f t="shared" si="23"/>
        <v>1124.9258135160865</v>
      </c>
      <c r="N46" s="2">
        <f t="shared" si="23"/>
        <v>0</v>
      </c>
      <c r="O46" s="2">
        <f t="shared" si="23"/>
        <v>0</v>
      </c>
      <c r="P46" s="2">
        <f t="shared" si="23"/>
        <v>0</v>
      </c>
      <c r="Q46" s="2">
        <f t="shared" si="23"/>
        <v>0</v>
      </c>
      <c r="R46" s="2">
        <f t="shared" si="24"/>
        <v>0</v>
      </c>
      <c r="S46" s="2">
        <f t="shared" si="24"/>
        <v>0</v>
      </c>
      <c r="T46" s="2">
        <f t="shared" si="24"/>
        <v>0</v>
      </c>
      <c r="U46" s="2">
        <f t="shared" si="24"/>
        <v>0</v>
      </c>
      <c r="V46" s="2">
        <f t="shared" si="24"/>
        <v>0</v>
      </c>
      <c r="W46" s="2">
        <f t="shared" si="24"/>
        <v>0</v>
      </c>
    </row>
    <row r="47" spans="1:23" s="2" customFormat="1" x14ac:dyDescent="0.3">
      <c r="A47" s="2" t="s">
        <v>68</v>
      </c>
      <c r="B47" s="2">
        <v>26250</v>
      </c>
      <c r="C47" s="2">
        <v>0</v>
      </c>
      <c r="D47" s="2">
        <v>0</v>
      </c>
      <c r="E47" s="2">
        <v>0</v>
      </c>
      <c r="F47" s="2">
        <v>14500</v>
      </c>
      <c r="G47" s="2">
        <v>746362.75650062924</v>
      </c>
      <c r="H47" s="2">
        <v>13351.066527959772</v>
      </c>
      <c r="I47" s="2">
        <v>232435.23302498518</v>
      </c>
      <c r="J47" s="2">
        <v>1638577.3977619479</v>
      </c>
      <c r="K47" s="2">
        <v>0</v>
      </c>
      <c r="L47" s="2">
        <v>0</v>
      </c>
      <c r="M47" s="2">
        <v>941189.15196808334</v>
      </c>
      <c r="N47" s="2">
        <v>84600</v>
      </c>
      <c r="O47" s="2">
        <v>0</v>
      </c>
      <c r="P47" s="2">
        <v>0</v>
      </c>
      <c r="Q47" s="2">
        <v>11500</v>
      </c>
      <c r="R47" s="2">
        <v>59.000000000000007</v>
      </c>
      <c r="S47" s="2">
        <v>190</v>
      </c>
      <c r="T47" s="2">
        <v>0</v>
      </c>
      <c r="U47" s="2">
        <v>0</v>
      </c>
      <c r="V47" s="2">
        <v>0</v>
      </c>
      <c r="W47" s="2">
        <v>14800</v>
      </c>
    </row>
    <row r="48" spans="1:23" s="2" customFormat="1" x14ac:dyDescent="0.3">
      <c r="A48" s="2" t="s">
        <v>69</v>
      </c>
      <c r="B48" s="2">
        <f t="shared" ref="B48:Q51" si="25">B47/10</f>
        <v>2625</v>
      </c>
      <c r="C48" s="2">
        <f t="shared" si="25"/>
        <v>0</v>
      </c>
      <c r="D48" s="2">
        <f t="shared" si="25"/>
        <v>0</v>
      </c>
      <c r="E48" s="2">
        <f t="shared" si="25"/>
        <v>0</v>
      </c>
      <c r="F48" s="2">
        <f t="shared" si="25"/>
        <v>1450</v>
      </c>
      <c r="G48" s="2">
        <f t="shared" si="25"/>
        <v>74636.275650062918</v>
      </c>
      <c r="H48" s="2">
        <v>0</v>
      </c>
      <c r="I48" s="2">
        <v>0</v>
      </c>
      <c r="J48" s="2">
        <f t="shared" si="25"/>
        <v>163857.73977619479</v>
      </c>
      <c r="K48" s="2">
        <f t="shared" si="25"/>
        <v>0</v>
      </c>
      <c r="L48" s="2">
        <f t="shared" si="25"/>
        <v>0</v>
      </c>
      <c r="M48" s="2">
        <f t="shared" si="25"/>
        <v>94118.915196808332</v>
      </c>
      <c r="N48" s="2">
        <v>0</v>
      </c>
      <c r="O48" s="2">
        <f t="shared" si="25"/>
        <v>0</v>
      </c>
      <c r="P48" s="2">
        <f t="shared" si="25"/>
        <v>0</v>
      </c>
      <c r="Q48" s="2">
        <v>0</v>
      </c>
      <c r="R48" s="2">
        <v>0</v>
      </c>
      <c r="S48" s="2">
        <v>0</v>
      </c>
      <c r="T48" s="2">
        <f t="shared" ref="T48:W51" si="26">T47/10</f>
        <v>0</v>
      </c>
      <c r="U48" s="2">
        <f t="shared" si="26"/>
        <v>0</v>
      </c>
      <c r="V48" s="2">
        <f t="shared" si="26"/>
        <v>0</v>
      </c>
      <c r="W48" s="2">
        <f t="shared" si="26"/>
        <v>1480</v>
      </c>
    </row>
    <row r="49" spans="1:23" s="2" customFormat="1" x14ac:dyDescent="0.3">
      <c r="A49" s="2" t="s">
        <v>70</v>
      </c>
      <c r="B49" s="2">
        <f t="shared" si="25"/>
        <v>262.5</v>
      </c>
      <c r="C49" s="2">
        <f t="shared" si="25"/>
        <v>0</v>
      </c>
      <c r="D49" s="2">
        <f t="shared" si="25"/>
        <v>0</v>
      </c>
      <c r="E49" s="2">
        <f t="shared" si="25"/>
        <v>0</v>
      </c>
      <c r="F49" s="2">
        <f t="shared" si="25"/>
        <v>145</v>
      </c>
      <c r="G49" s="2">
        <v>0</v>
      </c>
      <c r="H49" s="2">
        <f t="shared" si="25"/>
        <v>0</v>
      </c>
      <c r="I49" s="2">
        <f t="shared" si="25"/>
        <v>0</v>
      </c>
      <c r="J49" s="2">
        <v>0</v>
      </c>
      <c r="K49" s="2">
        <f t="shared" si="25"/>
        <v>0</v>
      </c>
      <c r="L49" s="2">
        <f t="shared" si="25"/>
        <v>0</v>
      </c>
      <c r="M49" s="2">
        <f t="shared" si="25"/>
        <v>9411.8915196808339</v>
      </c>
      <c r="N49" s="2">
        <f t="shared" si="25"/>
        <v>0</v>
      </c>
      <c r="O49" s="2">
        <f t="shared" si="25"/>
        <v>0</v>
      </c>
      <c r="P49" s="2">
        <f t="shared" si="25"/>
        <v>0</v>
      </c>
      <c r="Q49" s="2">
        <f t="shared" si="25"/>
        <v>0</v>
      </c>
      <c r="R49" s="2">
        <f t="shared" ref="R49:W52" si="27">R48/10</f>
        <v>0</v>
      </c>
      <c r="S49" s="2">
        <f t="shared" si="27"/>
        <v>0</v>
      </c>
      <c r="T49" s="2">
        <f t="shared" si="27"/>
        <v>0</v>
      </c>
      <c r="U49" s="2">
        <f t="shared" si="27"/>
        <v>0</v>
      </c>
      <c r="V49" s="2">
        <f t="shared" si="27"/>
        <v>0</v>
      </c>
      <c r="W49" s="2">
        <v>0</v>
      </c>
    </row>
    <row r="50" spans="1:23" s="2" customFormat="1" x14ac:dyDescent="0.3">
      <c r="A50" s="2" t="s">
        <v>71</v>
      </c>
      <c r="B50" s="2">
        <f t="shared" si="25"/>
        <v>26.25</v>
      </c>
      <c r="C50" s="2">
        <f t="shared" si="25"/>
        <v>0</v>
      </c>
      <c r="D50" s="2">
        <f t="shared" si="25"/>
        <v>0</v>
      </c>
      <c r="E50" s="2">
        <f t="shared" si="25"/>
        <v>0</v>
      </c>
      <c r="F50" s="2">
        <v>0</v>
      </c>
      <c r="G50" s="2">
        <f t="shared" si="25"/>
        <v>0</v>
      </c>
      <c r="H50" s="2">
        <f t="shared" si="25"/>
        <v>0</v>
      </c>
      <c r="I50" s="2">
        <f t="shared" si="25"/>
        <v>0</v>
      </c>
      <c r="J50" s="2">
        <f t="shared" si="25"/>
        <v>0</v>
      </c>
      <c r="K50" s="2">
        <f t="shared" si="25"/>
        <v>0</v>
      </c>
      <c r="L50" s="2">
        <f t="shared" si="25"/>
        <v>0</v>
      </c>
      <c r="M50" s="2">
        <f t="shared" si="25"/>
        <v>941.18915196808337</v>
      </c>
      <c r="N50" s="2">
        <f t="shared" si="25"/>
        <v>0</v>
      </c>
      <c r="O50" s="2">
        <f t="shared" si="25"/>
        <v>0</v>
      </c>
      <c r="P50" s="2">
        <f t="shared" si="25"/>
        <v>0</v>
      </c>
      <c r="Q50" s="2">
        <f t="shared" si="25"/>
        <v>0</v>
      </c>
      <c r="R50" s="2">
        <f t="shared" si="27"/>
        <v>0</v>
      </c>
      <c r="S50" s="2">
        <f t="shared" si="27"/>
        <v>0</v>
      </c>
      <c r="T50" s="2">
        <f t="shared" si="27"/>
        <v>0</v>
      </c>
      <c r="U50" s="2">
        <f t="shared" si="27"/>
        <v>0</v>
      </c>
      <c r="V50" s="2">
        <f t="shared" si="27"/>
        <v>0</v>
      </c>
      <c r="W50" s="2">
        <f t="shared" si="27"/>
        <v>0</v>
      </c>
    </row>
    <row r="51" spans="1:23" s="2" customFormat="1" x14ac:dyDescent="0.3">
      <c r="A51" s="2" t="s">
        <v>72</v>
      </c>
      <c r="B51" s="2">
        <v>0</v>
      </c>
      <c r="C51" s="2">
        <f t="shared" si="25"/>
        <v>0</v>
      </c>
      <c r="D51" s="2">
        <f t="shared" si="25"/>
        <v>0</v>
      </c>
      <c r="E51" s="2">
        <f t="shared" si="25"/>
        <v>0</v>
      </c>
      <c r="F51" s="2">
        <f t="shared" si="25"/>
        <v>0</v>
      </c>
      <c r="G51" s="2">
        <f t="shared" si="25"/>
        <v>0</v>
      </c>
      <c r="H51" s="2">
        <f t="shared" si="25"/>
        <v>0</v>
      </c>
      <c r="I51" s="2">
        <f t="shared" si="25"/>
        <v>0</v>
      </c>
      <c r="J51" s="2">
        <f t="shared" si="25"/>
        <v>0</v>
      </c>
      <c r="K51" s="2">
        <f t="shared" si="25"/>
        <v>0</v>
      </c>
      <c r="L51" s="2">
        <f t="shared" si="25"/>
        <v>0</v>
      </c>
      <c r="M51" s="2">
        <v>0</v>
      </c>
      <c r="N51" s="2">
        <f t="shared" si="25"/>
        <v>0</v>
      </c>
      <c r="O51" s="2">
        <f t="shared" si="25"/>
        <v>0</v>
      </c>
      <c r="P51" s="2">
        <f t="shared" si="25"/>
        <v>0</v>
      </c>
      <c r="Q51" s="2">
        <f t="shared" si="25"/>
        <v>0</v>
      </c>
      <c r="R51" s="2">
        <f t="shared" si="27"/>
        <v>0</v>
      </c>
      <c r="S51" s="2">
        <f t="shared" si="27"/>
        <v>0</v>
      </c>
      <c r="T51" s="2">
        <f t="shared" si="27"/>
        <v>0</v>
      </c>
      <c r="U51" s="2">
        <f t="shared" si="27"/>
        <v>0</v>
      </c>
      <c r="V51" s="2">
        <f t="shared" si="27"/>
        <v>0</v>
      </c>
      <c r="W51" s="2">
        <f t="shared" si="27"/>
        <v>0</v>
      </c>
    </row>
    <row r="52" spans="1:23" s="2" customFormat="1" x14ac:dyDescent="0.3">
      <c r="A52" s="2" t="s">
        <v>73</v>
      </c>
      <c r="B52" s="2">
        <v>4540</v>
      </c>
      <c r="C52" s="2">
        <v>0</v>
      </c>
      <c r="D52" s="2">
        <v>30</v>
      </c>
      <c r="E52" s="2">
        <v>0</v>
      </c>
      <c r="F52" s="2">
        <v>1100000</v>
      </c>
      <c r="G52" s="2">
        <v>17750000</v>
      </c>
      <c r="H52" s="2">
        <v>0</v>
      </c>
      <c r="I52" s="2">
        <v>0</v>
      </c>
      <c r="J52" s="2">
        <v>0</v>
      </c>
      <c r="K52" s="2">
        <v>0</v>
      </c>
      <c r="L52" s="2">
        <v>31839.597987411838</v>
      </c>
      <c r="M52" s="2">
        <v>20736362.453615837</v>
      </c>
      <c r="N52" s="2">
        <v>105000</v>
      </c>
      <c r="O52" s="2">
        <v>0</v>
      </c>
      <c r="P52" s="2">
        <v>0</v>
      </c>
      <c r="Q52" s="2">
        <v>26000</v>
      </c>
      <c r="R52" s="2">
        <v>280</v>
      </c>
      <c r="S52" s="2">
        <v>980</v>
      </c>
      <c r="T52" s="2">
        <v>0</v>
      </c>
      <c r="U52" s="2">
        <v>260</v>
      </c>
      <c r="V52" s="2">
        <v>62800</v>
      </c>
      <c r="W52" s="2">
        <v>13600</v>
      </c>
    </row>
    <row r="53" spans="1:23" s="2" customFormat="1" x14ac:dyDescent="0.3">
      <c r="A53" s="2" t="s">
        <v>74</v>
      </c>
      <c r="B53" s="2">
        <f t="shared" ref="B53:Q56" si="28">B52/10</f>
        <v>454</v>
      </c>
      <c r="C53" s="2">
        <f t="shared" si="28"/>
        <v>0</v>
      </c>
      <c r="D53" s="2">
        <v>0</v>
      </c>
      <c r="E53" s="2">
        <f t="shared" si="28"/>
        <v>0</v>
      </c>
      <c r="F53" s="2">
        <f t="shared" si="28"/>
        <v>110000</v>
      </c>
      <c r="G53" s="2">
        <f t="shared" si="28"/>
        <v>1775000</v>
      </c>
      <c r="H53" s="2">
        <f t="shared" si="28"/>
        <v>0</v>
      </c>
      <c r="I53" s="2">
        <f t="shared" si="28"/>
        <v>0</v>
      </c>
      <c r="J53" s="2">
        <f t="shared" si="28"/>
        <v>0</v>
      </c>
      <c r="K53" s="2">
        <f t="shared" si="28"/>
        <v>0</v>
      </c>
      <c r="L53" s="2">
        <f t="shared" si="28"/>
        <v>3183.9597987411839</v>
      </c>
      <c r="M53" s="2">
        <f t="shared" si="28"/>
        <v>2073636.2453615838</v>
      </c>
      <c r="N53" s="2">
        <v>0</v>
      </c>
      <c r="O53" s="2">
        <f t="shared" si="28"/>
        <v>0</v>
      </c>
      <c r="P53" s="2">
        <f t="shared" si="28"/>
        <v>0</v>
      </c>
      <c r="Q53" s="2">
        <v>0</v>
      </c>
      <c r="R53" s="2">
        <v>0</v>
      </c>
      <c r="S53" s="2">
        <f t="shared" ref="S53:W56" si="29">S52/10</f>
        <v>98</v>
      </c>
      <c r="T53" s="2">
        <f t="shared" si="29"/>
        <v>0</v>
      </c>
      <c r="U53" s="2">
        <v>0</v>
      </c>
      <c r="V53" s="2">
        <v>0</v>
      </c>
      <c r="W53" s="2">
        <f t="shared" si="29"/>
        <v>1360</v>
      </c>
    </row>
    <row r="54" spans="1:23" s="2" customFormat="1" x14ac:dyDescent="0.3">
      <c r="A54" s="2" t="s">
        <v>75</v>
      </c>
      <c r="B54" s="2">
        <f t="shared" si="28"/>
        <v>45.4</v>
      </c>
      <c r="C54" s="2">
        <f t="shared" si="28"/>
        <v>0</v>
      </c>
      <c r="D54" s="2">
        <v>0</v>
      </c>
      <c r="E54" s="2">
        <f t="shared" si="28"/>
        <v>0</v>
      </c>
      <c r="F54" s="2">
        <f t="shared" si="28"/>
        <v>11000</v>
      </c>
      <c r="G54" s="2">
        <f t="shared" si="28"/>
        <v>177500</v>
      </c>
      <c r="H54" s="2">
        <f t="shared" si="28"/>
        <v>0</v>
      </c>
      <c r="I54" s="2">
        <f t="shared" si="28"/>
        <v>0</v>
      </c>
      <c r="J54" s="2">
        <f t="shared" si="28"/>
        <v>0</v>
      </c>
      <c r="K54" s="2">
        <f t="shared" si="28"/>
        <v>0</v>
      </c>
      <c r="L54" s="2">
        <v>0</v>
      </c>
      <c r="M54" s="2">
        <f t="shared" si="28"/>
        <v>207363.62453615837</v>
      </c>
      <c r="N54" s="2">
        <f t="shared" si="28"/>
        <v>0</v>
      </c>
      <c r="O54" s="2">
        <f t="shared" si="28"/>
        <v>0</v>
      </c>
      <c r="P54" s="2">
        <f t="shared" si="28"/>
        <v>0</v>
      </c>
      <c r="Q54" s="2">
        <f t="shared" si="28"/>
        <v>0</v>
      </c>
      <c r="R54" s="2">
        <f t="shared" ref="R54:W57" si="30">R53/10</f>
        <v>0</v>
      </c>
      <c r="S54" s="2">
        <v>0</v>
      </c>
      <c r="T54" s="2">
        <f t="shared" si="30"/>
        <v>0</v>
      </c>
      <c r="U54" s="2">
        <f t="shared" si="30"/>
        <v>0</v>
      </c>
      <c r="V54" s="2">
        <f t="shared" si="30"/>
        <v>0</v>
      </c>
      <c r="W54" s="2">
        <v>0</v>
      </c>
    </row>
    <row r="55" spans="1:23" s="2" customFormat="1" x14ac:dyDescent="0.3">
      <c r="A55" s="2" t="s">
        <v>76</v>
      </c>
      <c r="B55" s="2">
        <v>0</v>
      </c>
      <c r="C55" s="2">
        <f t="shared" si="28"/>
        <v>0</v>
      </c>
      <c r="D55" s="2">
        <f t="shared" si="28"/>
        <v>0</v>
      </c>
      <c r="E55" s="2">
        <f t="shared" si="28"/>
        <v>0</v>
      </c>
      <c r="F55" s="2">
        <f t="shared" si="28"/>
        <v>1100</v>
      </c>
      <c r="G55" s="2">
        <v>0</v>
      </c>
      <c r="H55" s="2">
        <f t="shared" si="28"/>
        <v>0</v>
      </c>
      <c r="I55" s="2">
        <f t="shared" si="28"/>
        <v>0</v>
      </c>
      <c r="J55" s="2">
        <f t="shared" si="28"/>
        <v>0</v>
      </c>
      <c r="K55" s="2">
        <f t="shared" si="28"/>
        <v>0</v>
      </c>
      <c r="L55" s="2">
        <f t="shared" si="28"/>
        <v>0</v>
      </c>
      <c r="M55" s="2">
        <f t="shared" si="28"/>
        <v>20736.362453615839</v>
      </c>
      <c r="N55" s="2">
        <f t="shared" si="28"/>
        <v>0</v>
      </c>
      <c r="O55" s="2">
        <f t="shared" si="28"/>
        <v>0</v>
      </c>
      <c r="P55" s="2">
        <f t="shared" si="28"/>
        <v>0</v>
      </c>
      <c r="Q55" s="2">
        <f t="shared" si="28"/>
        <v>0</v>
      </c>
      <c r="R55" s="2">
        <f t="shared" si="30"/>
        <v>0</v>
      </c>
      <c r="S55" s="2">
        <f t="shared" si="30"/>
        <v>0</v>
      </c>
      <c r="T55" s="2">
        <f t="shared" si="30"/>
        <v>0</v>
      </c>
      <c r="U55" s="2">
        <f t="shared" si="30"/>
        <v>0</v>
      </c>
      <c r="V55" s="2">
        <f t="shared" si="30"/>
        <v>0</v>
      </c>
      <c r="W55" s="2">
        <f t="shared" si="30"/>
        <v>0</v>
      </c>
    </row>
    <row r="56" spans="1:23" s="2" customFormat="1" x14ac:dyDescent="0.3">
      <c r="A56" s="2" t="s">
        <v>77</v>
      </c>
      <c r="B56" s="2">
        <f t="shared" ref="B56:Q59" si="31">B55/10</f>
        <v>0</v>
      </c>
      <c r="C56" s="2">
        <f t="shared" si="31"/>
        <v>0</v>
      </c>
      <c r="D56" s="2">
        <f t="shared" si="31"/>
        <v>0</v>
      </c>
      <c r="E56" s="2">
        <f t="shared" si="31"/>
        <v>0</v>
      </c>
      <c r="F56" s="2">
        <f t="shared" si="31"/>
        <v>110</v>
      </c>
      <c r="G56" s="2">
        <f t="shared" si="31"/>
        <v>0</v>
      </c>
      <c r="H56" s="2">
        <f t="shared" si="31"/>
        <v>0</v>
      </c>
      <c r="I56" s="2">
        <f t="shared" si="31"/>
        <v>0</v>
      </c>
      <c r="J56" s="2">
        <f t="shared" si="31"/>
        <v>0</v>
      </c>
      <c r="K56" s="2">
        <f t="shared" si="31"/>
        <v>0</v>
      </c>
      <c r="L56" s="2">
        <f t="shared" si="31"/>
        <v>0</v>
      </c>
      <c r="M56" s="2">
        <f t="shared" si="31"/>
        <v>2073.6362453615839</v>
      </c>
      <c r="N56" s="2">
        <f t="shared" si="31"/>
        <v>0</v>
      </c>
      <c r="O56" s="2">
        <f t="shared" si="31"/>
        <v>0</v>
      </c>
      <c r="P56" s="2">
        <f t="shared" si="31"/>
        <v>0</v>
      </c>
      <c r="Q56" s="2">
        <f t="shared" si="31"/>
        <v>0</v>
      </c>
      <c r="R56" s="2">
        <f t="shared" si="30"/>
        <v>0</v>
      </c>
      <c r="S56" s="2">
        <f t="shared" si="30"/>
        <v>0</v>
      </c>
      <c r="T56" s="2">
        <f t="shared" si="30"/>
        <v>0</v>
      </c>
      <c r="U56" s="2">
        <f t="shared" si="30"/>
        <v>0</v>
      </c>
      <c r="V56" s="2">
        <f t="shared" si="30"/>
        <v>0</v>
      </c>
      <c r="W56" s="2">
        <f t="shared" si="30"/>
        <v>0</v>
      </c>
    </row>
    <row r="57" spans="1:23" s="2" customFormat="1" x14ac:dyDescent="0.3">
      <c r="A57" s="2" t="s">
        <v>78</v>
      </c>
      <c r="B57" s="2">
        <v>0</v>
      </c>
      <c r="C57" s="2">
        <v>0</v>
      </c>
      <c r="D57" s="2">
        <v>0</v>
      </c>
      <c r="E57" s="2">
        <v>145</v>
      </c>
      <c r="F57" s="2">
        <v>3000000</v>
      </c>
      <c r="G57" s="2">
        <v>20550000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70162126.326048225</v>
      </c>
      <c r="N57" s="2">
        <v>456000</v>
      </c>
      <c r="O57" s="2">
        <v>0</v>
      </c>
      <c r="P57" s="2">
        <v>0</v>
      </c>
      <c r="Q57" s="2">
        <v>0</v>
      </c>
      <c r="R57" s="2">
        <v>390</v>
      </c>
      <c r="S57" s="2">
        <v>580</v>
      </c>
      <c r="T57" s="2">
        <v>260</v>
      </c>
      <c r="U57" s="2">
        <v>160</v>
      </c>
      <c r="V57" s="2">
        <v>0</v>
      </c>
      <c r="W57" s="2">
        <v>158800</v>
      </c>
    </row>
    <row r="58" spans="1:23" s="2" customFormat="1" x14ac:dyDescent="0.3">
      <c r="A58" s="2" t="s">
        <v>79</v>
      </c>
      <c r="B58" s="2">
        <f t="shared" ref="B58:Q61" si="32">B57/10</f>
        <v>0</v>
      </c>
      <c r="C58" s="2">
        <f t="shared" si="32"/>
        <v>0</v>
      </c>
      <c r="D58" s="2">
        <f t="shared" si="32"/>
        <v>0</v>
      </c>
      <c r="E58" s="2">
        <f t="shared" si="32"/>
        <v>14.5</v>
      </c>
      <c r="F58" s="2">
        <f t="shared" si="32"/>
        <v>300000</v>
      </c>
      <c r="G58" s="2">
        <f t="shared" si="32"/>
        <v>2055000</v>
      </c>
      <c r="H58" s="2">
        <f t="shared" si="32"/>
        <v>0</v>
      </c>
      <c r="I58" s="2">
        <f t="shared" si="32"/>
        <v>0</v>
      </c>
      <c r="J58" s="2">
        <f t="shared" si="32"/>
        <v>0</v>
      </c>
      <c r="K58" s="2">
        <f t="shared" si="32"/>
        <v>0</v>
      </c>
      <c r="L58" s="2">
        <f t="shared" si="32"/>
        <v>0</v>
      </c>
      <c r="M58" s="2">
        <f t="shared" si="32"/>
        <v>7016212.6326048225</v>
      </c>
      <c r="N58" s="2">
        <f t="shared" si="32"/>
        <v>45600</v>
      </c>
      <c r="O58" s="2">
        <f t="shared" si="32"/>
        <v>0</v>
      </c>
      <c r="P58" s="2">
        <f t="shared" si="32"/>
        <v>0</v>
      </c>
      <c r="Q58" s="2">
        <f t="shared" si="32"/>
        <v>0</v>
      </c>
      <c r="R58" s="2">
        <v>0</v>
      </c>
      <c r="S58" s="2">
        <f t="shared" ref="S58:W61" si="33">S57/10</f>
        <v>58</v>
      </c>
      <c r="T58" s="2">
        <v>0</v>
      </c>
      <c r="U58" s="2">
        <v>0</v>
      </c>
      <c r="V58" s="2">
        <f t="shared" si="33"/>
        <v>0</v>
      </c>
      <c r="W58" s="2">
        <f t="shared" si="33"/>
        <v>15880</v>
      </c>
    </row>
    <row r="59" spans="1:23" s="2" customFormat="1" x14ac:dyDescent="0.3">
      <c r="A59" s="2" t="s">
        <v>80</v>
      </c>
      <c r="B59" s="2">
        <f t="shared" si="32"/>
        <v>0</v>
      </c>
      <c r="C59" s="2">
        <f t="shared" si="32"/>
        <v>0</v>
      </c>
      <c r="D59" s="2">
        <f t="shared" si="32"/>
        <v>0</v>
      </c>
      <c r="E59" s="2">
        <v>0</v>
      </c>
      <c r="F59" s="2">
        <f t="shared" si="32"/>
        <v>30000</v>
      </c>
      <c r="G59" s="2">
        <f t="shared" si="32"/>
        <v>205500</v>
      </c>
      <c r="H59" s="2">
        <f t="shared" si="32"/>
        <v>0</v>
      </c>
      <c r="I59" s="2">
        <f t="shared" si="32"/>
        <v>0</v>
      </c>
      <c r="J59" s="2">
        <f t="shared" si="32"/>
        <v>0</v>
      </c>
      <c r="K59" s="2">
        <f t="shared" si="32"/>
        <v>0</v>
      </c>
      <c r="L59" s="2">
        <f t="shared" si="32"/>
        <v>0</v>
      </c>
      <c r="M59" s="2">
        <f t="shared" si="32"/>
        <v>701621.26326048223</v>
      </c>
      <c r="N59" s="2">
        <v>0</v>
      </c>
      <c r="O59" s="2">
        <f t="shared" si="32"/>
        <v>0</v>
      </c>
      <c r="P59" s="2">
        <f t="shared" si="32"/>
        <v>0</v>
      </c>
      <c r="Q59" s="2">
        <f t="shared" si="32"/>
        <v>0</v>
      </c>
      <c r="R59" s="2">
        <f t="shared" ref="R59:W62" si="34">R58/10</f>
        <v>0</v>
      </c>
      <c r="S59" s="2">
        <v>0</v>
      </c>
      <c r="T59" s="2">
        <f t="shared" si="34"/>
        <v>0</v>
      </c>
      <c r="U59" s="2">
        <f t="shared" si="34"/>
        <v>0</v>
      </c>
      <c r="V59" s="2">
        <f t="shared" si="34"/>
        <v>0</v>
      </c>
      <c r="W59" s="2">
        <f t="shared" si="34"/>
        <v>1588</v>
      </c>
    </row>
    <row r="60" spans="1:23" s="2" customFormat="1" x14ac:dyDescent="0.3">
      <c r="A60" s="2" t="s">
        <v>81</v>
      </c>
      <c r="B60" s="2">
        <f t="shared" si="32"/>
        <v>0</v>
      </c>
      <c r="C60" s="2">
        <f t="shared" si="32"/>
        <v>0</v>
      </c>
      <c r="D60" s="2">
        <f t="shared" si="32"/>
        <v>0</v>
      </c>
      <c r="E60" s="2">
        <f t="shared" si="32"/>
        <v>0</v>
      </c>
      <c r="F60" s="2">
        <f t="shared" si="32"/>
        <v>3000</v>
      </c>
      <c r="G60" s="2">
        <v>0</v>
      </c>
      <c r="H60" s="2">
        <f t="shared" si="32"/>
        <v>0</v>
      </c>
      <c r="I60" s="2">
        <f t="shared" si="32"/>
        <v>0</v>
      </c>
      <c r="J60" s="2">
        <f t="shared" si="32"/>
        <v>0</v>
      </c>
      <c r="K60" s="2">
        <f t="shared" si="32"/>
        <v>0</v>
      </c>
      <c r="L60" s="2">
        <f t="shared" si="32"/>
        <v>0</v>
      </c>
      <c r="M60" s="2">
        <f t="shared" si="32"/>
        <v>70162.126326048223</v>
      </c>
      <c r="N60" s="2">
        <f t="shared" si="32"/>
        <v>0</v>
      </c>
      <c r="O60" s="2">
        <f t="shared" si="32"/>
        <v>0</v>
      </c>
      <c r="P60" s="2">
        <f t="shared" si="32"/>
        <v>0</v>
      </c>
      <c r="Q60" s="2">
        <f t="shared" si="32"/>
        <v>0</v>
      </c>
      <c r="R60" s="2">
        <f t="shared" si="34"/>
        <v>0</v>
      </c>
      <c r="S60" s="2">
        <f t="shared" si="34"/>
        <v>0</v>
      </c>
      <c r="T60" s="2">
        <f t="shared" si="34"/>
        <v>0</v>
      </c>
      <c r="U60" s="2">
        <f t="shared" si="34"/>
        <v>0</v>
      </c>
      <c r="V60" s="2">
        <f t="shared" si="34"/>
        <v>0</v>
      </c>
      <c r="W60" s="2">
        <v>0</v>
      </c>
    </row>
    <row r="61" spans="1:23" s="2" customFormat="1" x14ac:dyDescent="0.3">
      <c r="A61" s="2" t="s">
        <v>82</v>
      </c>
      <c r="B61" s="2">
        <f t="shared" si="32"/>
        <v>0</v>
      </c>
      <c r="C61" s="2">
        <f t="shared" si="32"/>
        <v>0</v>
      </c>
      <c r="D61" s="2">
        <f t="shared" si="32"/>
        <v>0</v>
      </c>
      <c r="E61" s="2">
        <f t="shared" si="32"/>
        <v>0</v>
      </c>
      <c r="F61" s="2">
        <f t="shared" si="32"/>
        <v>300</v>
      </c>
      <c r="G61" s="2">
        <f t="shared" si="32"/>
        <v>0</v>
      </c>
      <c r="H61" s="2">
        <f t="shared" si="32"/>
        <v>0</v>
      </c>
      <c r="I61" s="2">
        <f t="shared" si="32"/>
        <v>0</v>
      </c>
      <c r="J61" s="2">
        <f t="shared" si="32"/>
        <v>0</v>
      </c>
      <c r="K61" s="2">
        <f t="shared" si="32"/>
        <v>0</v>
      </c>
      <c r="L61" s="2">
        <f t="shared" si="32"/>
        <v>0</v>
      </c>
      <c r="M61" s="2">
        <f t="shared" si="32"/>
        <v>7016.2126326048219</v>
      </c>
      <c r="N61" s="2">
        <f t="shared" si="32"/>
        <v>0</v>
      </c>
      <c r="O61" s="2">
        <f t="shared" si="32"/>
        <v>0</v>
      </c>
      <c r="P61" s="2">
        <f t="shared" si="32"/>
        <v>0</v>
      </c>
      <c r="Q61" s="2">
        <f t="shared" si="32"/>
        <v>0</v>
      </c>
      <c r="R61" s="2">
        <f t="shared" si="34"/>
        <v>0</v>
      </c>
      <c r="S61" s="2">
        <f t="shared" si="34"/>
        <v>0</v>
      </c>
      <c r="T61" s="2">
        <f t="shared" si="34"/>
        <v>0</v>
      </c>
      <c r="U61" s="2">
        <f t="shared" si="34"/>
        <v>0</v>
      </c>
      <c r="V61" s="2">
        <f t="shared" si="34"/>
        <v>0</v>
      </c>
      <c r="W61" s="2">
        <f t="shared" si="34"/>
        <v>0</v>
      </c>
    </row>
    <row r="62" spans="1:23" s="2" customFormat="1" x14ac:dyDescent="0.3">
      <c r="A62" s="2" t="s">
        <v>83</v>
      </c>
      <c r="B62" s="2">
        <v>0</v>
      </c>
      <c r="C62" s="2">
        <v>0</v>
      </c>
      <c r="D62" s="2">
        <v>5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479249755.27171636</v>
      </c>
      <c r="M62" s="2">
        <v>0</v>
      </c>
      <c r="N62" s="2">
        <v>0</v>
      </c>
      <c r="O62" s="2">
        <v>0</v>
      </c>
      <c r="P62" s="2">
        <v>240000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24000</v>
      </c>
    </row>
    <row r="63" spans="1:23" s="2" customFormat="1" x14ac:dyDescent="0.3">
      <c r="A63" s="2" t="s">
        <v>84</v>
      </c>
      <c r="B63" s="2">
        <f t="shared" ref="B63:Q66" si="35">B62/10</f>
        <v>0</v>
      </c>
      <c r="C63" s="2">
        <f t="shared" si="35"/>
        <v>0</v>
      </c>
      <c r="D63" s="2">
        <v>0</v>
      </c>
      <c r="E63" s="2">
        <f t="shared" si="35"/>
        <v>0</v>
      </c>
      <c r="F63" s="2">
        <f t="shared" si="35"/>
        <v>0</v>
      </c>
      <c r="G63" s="2">
        <f t="shared" si="35"/>
        <v>0</v>
      </c>
      <c r="H63" s="2">
        <f t="shared" si="35"/>
        <v>0</v>
      </c>
      <c r="I63" s="2">
        <f t="shared" si="35"/>
        <v>0</v>
      </c>
      <c r="J63" s="2">
        <f t="shared" si="35"/>
        <v>0</v>
      </c>
      <c r="K63" s="2">
        <f t="shared" si="35"/>
        <v>0</v>
      </c>
      <c r="L63" s="2">
        <f t="shared" si="35"/>
        <v>47924975.527171634</v>
      </c>
      <c r="M63" s="2">
        <f t="shared" si="35"/>
        <v>0</v>
      </c>
      <c r="N63" s="2">
        <f t="shared" si="35"/>
        <v>0</v>
      </c>
      <c r="O63" s="2">
        <f t="shared" si="35"/>
        <v>0</v>
      </c>
      <c r="P63" s="2">
        <f t="shared" si="35"/>
        <v>24000</v>
      </c>
      <c r="Q63" s="2">
        <f t="shared" si="35"/>
        <v>0</v>
      </c>
      <c r="R63" s="2">
        <f t="shared" ref="R63:W66" si="36">R62/10</f>
        <v>0</v>
      </c>
      <c r="S63" s="2">
        <f t="shared" si="36"/>
        <v>0</v>
      </c>
      <c r="T63" s="2">
        <f t="shared" si="36"/>
        <v>0</v>
      </c>
      <c r="U63" s="2">
        <f t="shared" si="36"/>
        <v>0</v>
      </c>
      <c r="V63" s="2">
        <f t="shared" si="36"/>
        <v>0</v>
      </c>
      <c r="W63" s="2">
        <f t="shared" si="36"/>
        <v>2400</v>
      </c>
    </row>
    <row r="64" spans="1:23" s="2" customFormat="1" x14ac:dyDescent="0.3">
      <c r="A64" s="2" t="s">
        <v>85</v>
      </c>
      <c r="B64" s="2">
        <f t="shared" si="35"/>
        <v>0</v>
      </c>
      <c r="C64" s="2">
        <f t="shared" si="35"/>
        <v>0</v>
      </c>
      <c r="D64" s="2">
        <f t="shared" si="35"/>
        <v>0</v>
      </c>
      <c r="E64" s="2">
        <f t="shared" si="35"/>
        <v>0</v>
      </c>
      <c r="F64" s="2">
        <f t="shared" si="35"/>
        <v>0</v>
      </c>
      <c r="G64" s="2">
        <f t="shared" si="35"/>
        <v>0</v>
      </c>
      <c r="H64" s="2">
        <f t="shared" si="35"/>
        <v>0</v>
      </c>
      <c r="I64" s="2">
        <f t="shared" si="35"/>
        <v>0</v>
      </c>
      <c r="J64" s="2">
        <f t="shared" si="35"/>
        <v>0</v>
      </c>
      <c r="K64" s="2">
        <f t="shared" si="35"/>
        <v>0</v>
      </c>
      <c r="L64" s="2">
        <f t="shared" si="35"/>
        <v>4792497.5527171632</v>
      </c>
      <c r="M64" s="2">
        <f t="shared" si="35"/>
        <v>0</v>
      </c>
      <c r="N64" s="2">
        <f t="shared" si="35"/>
        <v>0</v>
      </c>
      <c r="O64" s="2">
        <f t="shared" si="35"/>
        <v>0</v>
      </c>
      <c r="P64" s="2">
        <v>0</v>
      </c>
      <c r="Q64" s="2">
        <f t="shared" si="35"/>
        <v>0</v>
      </c>
      <c r="R64" s="2">
        <f t="shared" si="36"/>
        <v>0</v>
      </c>
      <c r="S64" s="2">
        <f t="shared" si="36"/>
        <v>0</v>
      </c>
      <c r="T64" s="2">
        <f t="shared" si="36"/>
        <v>0</v>
      </c>
      <c r="U64" s="2">
        <f t="shared" si="36"/>
        <v>0</v>
      </c>
      <c r="V64" s="2">
        <f t="shared" si="36"/>
        <v>0</v>
      </c>
      <c r="W64" s="2">
        <v>0</v>
      </c>
    </row>
    <row r="65" spans="1:23" s="2" customFormat="1" x14ac:dyDescent="0.3">
      <c r="A65" s="2" t="s">
        <v>86</v>
      </c>
      <c r="B65" s="2">
        <f t="shared" si="35"/>
        <v>0</v>
      </c>
      <c r="C65" s="2">
        <f t="shared" si="35"/>
        <v>0</v>
      </c>
      <c r="D65" s="2">
        <f t="shared" si="35"/>
        <v>0</v>
      </c>
      <c r="E65" s="2">
        <f t="shared" si="35"/>
        <v>0</v>
      </c>
      <c r="F65" s="2">
        <f t="shared" si="35"/>
        <v>0</v>
      </c>
      <c r="G65" s="2">
        <f t="shared" si="35"/>
        <v>0</v>
      </c>
      <c r="H65" s="2">
        <f t="shared" si="35"/>
        <v>0</v>
      </c>
      <c r="I65" s="2">
        <f t="shared" si="35"/>
        <v>0</v>
      </c>
      <c r="J65" s="2">
        <f t="shared" si="35"/>
        <v>0</v>
      </c>
      <c r="K65" s="2">
        <f t="shared" si="35"/>
        <v>0</v>
      </c>
      <c r="L65" s="2">
        <f t="shared" si="35"/>
        <v>479249.75527171633</v>
      </c>
      <c r="M65" s="2">
        <f t="shared" si="35"/>
        <v>0</v>
      </c>
      <c r="N65" s="2">
        <f t="shared" si="35"/>
        <v>0</v>
      </c>
      <c r="O65" s="2">
        <f t="shared" si="35"/>
        <v>0</v>
      </c>
      <c r="P65" s="2">
        <f t="shared" si="35"/>
        <v>0</v>
      </c>
      <c r="Q65" s="2">
        <f t="shared" si="35"/>
        <v>0</v>
      </c>
      <c r="R65" s="2">
        <f t="shared" si="36"/>
        <v>0</v>
      </c>
      <c r="S65" s="2">
        <f t="shared" si="36"/>
        <v>0</v>
      </c>
      <c r="T65" s="2">
        <f t="shared" si="36"/>
        <v>0</v>
      </c>
      <c r="U65" s="2">
        <f t="shared" si="36"/>
        <v>0</v>
      </c>
      <c r="V65" s="2">
        <f t="shared" si="36"/>
        <v>0</v>
      </c>
      <c r="W65" s="2">
        <f t="shared" si="36"/>
        <v>0</v>
      </c>
    </row>
    <row r="66" spans="1:23" s="2" customFormat="1" x14ac:dyDescent="0.3">
      <c r="A66" s="2" t="s">
        <v>87</v>
      </c>
      <c r="B66" s="2">
        <f t="shared" si="35"/>
        <v>0</v>
      </c>
      <c r="C66" s="2">
        <f t="shared" si="35"/>
        <v>0</v>
      </c>
      <c r="D66" s="2">
        <f t="shared" si="35"/>
        <v>0</v>
      </c>
      <c r="E66" s="2">
        <f t="shared" si="35"/>
        <v>0</v>
      </c>
      <c r="F66" s="2">
        <f t="shared" si="35"/>
        <v>0</v>
      </c>
      <c r="G66" s="2">
        <f t="shared" si="35"/>
        <v>0</v>
      </c>
      <c r="H66" s="2">
        <f t="shared" si="35"/>
        <v>0</v>
      </c>
      <c r="I66" s="2">
        <f t="shared" si="35"/>
        <v>0</v>
      </c>
      <c r="J66" s="2">
        <f t="shared" si="35"/>
        <v>0</v>
      </c>
      <c r="K66" s="2">
        <f t="shared" si="35"/>
        <v>0</v>
      </c>
      <c r="L66" s="2">
        <f t="shared" si="35"/>
        <v>47924.975527171635</v>
      </c>
      <c r="M66" s="2">
        <f t="shared" si="35"/>
        <v>0</v>
      </c>
      <c r="N66" s="2">
        <f t="shared" si="35"/>
        <v>0</v>
      </c>
      <c r="O66" s="2">
        <f t="shared" si="35"/>
        <v>0</v>
      </c>
      <c r="P66" s="2">
        <f t="shared" si="35"/>
        <v>0</v>
      </c>
      <c r="Q66" s="2">
        <f t="shared" si="35"/>
        <v>0</v>
      </c>
      <c r="R66" s="2">
        <f t="shared" si="36"/>
        <v>0</v>
      </c>
      <c r="S66" s="2">
        <f t="shared" si="36"/>
        <v>0</v>
      </c>
      <c r="T66" s="2">
        <f t="shared" si="36"/>
        <v>0</v>
      </c>
      <c r="U66" s="2">
        <f t="shared" si="36"/>
        <v>0</v>
      </c>
      <c r="V66" s="2">
        <f t="shared" si="36"/>
        <v>0</v>
      </c>
      <c r="W66" s="2">
        <f t="shared" si="36"/>
        <v>0</v>
      </c>
    </row>
    <row r="67" spans="1:23" s="2" customFormat="1" x14ac:dyDescent="0.3">
      <c r="A67" s="2" t="s">
        <v>88</v>
      </c>
      <c r="B67" s="2">
        <v>5000</v>
      </c>
      <c r="C67" s="2">
        <v>0</v>
      </c>
      <c r="D67" s="2">
        <v>0</v>
      </c>
      <c r="E67" s="2">
        <v>505</v>
      </c>
      <c r="F67" s="2">
        <v>6818181.8181818174</v>
      </c>
      <c r="G67" s="2">
        <v>122139.731228668</v>
      </c>
      <c r="H67" s="2">
        <v>597915.70380333101</v>
      </c>
      <c r="I67" s="2">
        <v>0</v>
      </c>
      <c r="J67" s="2">
        <v>0</v>
      </c>
      <c r="K67" s="2">
        <v>0</v>
      </c>
      <c r="L67" s="2">
        <v>0</v>
      </c>
      <c r="M67" s="2">
        <v>45445023.683248714</v>
      </c>
      <c r="N67" s="2">
        <v>224000</v>
      </c>
      <c r="O67" s="2">
        <v>0</v>
      </c>
      <c r="P67" s="2">
        <v>0</v>
      </c>
      <c r="Q67" s="2">
        <v>0</v>
      </c>
      <c r="R67" s="2">
        <v>560</v>
      </c>
      <c r="S67" s="2">
        <v>210</v>
      </c>
      <c r="T67" s="2">
        <v>0</v>
      </c>
      <c r="U67" s="2">
        <v>180</v>
      </c>
      <c r="V67" s="2">
        <v>212000</v>
      </c>
      <c r="W67" s="2">
        <v>181600</v>
      </c>
    </row>
    <row r="68" spans="1:23" s="2" customFormat="1" x14ac:dyDescent="0.3">
      <c r="A68" s="2" t="s">
        <v>89</v>
      </c>
      <c r="B68" s="2">
        <f t="shared" ref="B68:Q71" si="37">B67/10</f>
        <v>500</v>
      </c>
      <c r="C68" s="2">
        <f t="shared" si="37"/>
        <v>0</v>
      </c>
      <c r="D68" s="2">
        <f t="shared" si="37"/>
        <v>0</v>
      </c>
      <c r="E68" s="2">
        <f t="shared" si="37"/>
        <v>50.5</v>
      </c>
      <c r="F68" s="2">
        <f t="shared" si="37"/>
        <v>681818.18181818177</v>
      </c>
      <c r="G68" s="2">
        <v>0</v>
      </c>
      <c r="H68" s="2">
        <f t="shared" si="37"/>
        <v>59791.570380333098</v>
      </c>
      <c r="I68" s="2">
        <f t="shared" si="37"/>
        <v>0</v>
      </c>
      <c r="J68" s="2">
        <f t="shared" si="37"/>
        <v>0</v>
      </c>
      <c r="K68" s="2">
        <f t="shared" si="37"/>
        <v>0</v>
      </c>
      <c r="L68" s="2">
        <f t="shared" si="37"/>
        <v>0</v>
      </c>
      <c r="M68" s="2">
        <f t="shared" si="37"/>
        <v>4544502.3683248712</v>
      </c>
      <c r="N68" s="2">
        <f t="shared" si="37"/>
        <v>22400</v>
      </c>
      <c r="O68" s="2">
        <f t="shared" si="37"/>
        <v>0</v>
      </c>
      <c r="P68" s="2">
        <f t="shared" si="37"/>
        <v>0</v>
      </c>
      <c r="Q68" s="2">
        <f t="shared" si="37"/>
        <v>0</v>
      </c>
      <c r="R68" s="2">
        <f t="shared" ref="R68:W71" si="38">R67/10</f>
        <v>56</v>
      </c>
      <c r="S68" s="2">
        <v>0</v>
      </c>
      <c r="T68" s="2">
        <f t="shared" si="38"/>
        <v>0</v>
      </c>
      <c r="U68" s="2">
        <v>0</v>
      </c>
      <c r="V68" s="2">
        <v>0</v>
      </c>
      <c r="W68" s="2">
        <f t="shared" si="38"/>
        <v>18160</v>
      </c>
    </row>
    <row r="69" spans="1:23" s="2" customFormat="1" x14ac:dyDescent="0.3">
      <c r="A69" s="2" t="s">
        <v>90</v>
      </c>
      <c r="B69" s="2">
        <f t="shared" si="37"/>
        <v>50</v>
      </c>
      <c r="C69" s="2">
        <f t="shared" si="37"/>
        <v>0</v>
      </c>
      <c r="D69" s="2">
        <f t="shared" si="37"/>
        <v>0</v>
      </c>
      <c r="E69" s="2">
        <f t="shared" si="37"/>
        <v>5.05</v>
      </c>
      <c r="F69" s="2">
        <f t="shared" si="37"/>
        <v>68181.818181818177</v>
      </c>
      <c r="G69" s="2">
        <f t="shared" si="37"/>
        <v>0</v>
      </c>
      <c r="H69" s="2">
        <v>0</v>
      </c>
      <c r="I69" s="2">
        <f t="shared" si="37"/>
        <v>0</v>
      </c>
      <c r="J69" s="2">
        <f t="shared" si="37"/>
        <v>0</v>
      </c>
      <c r="K69" s="2">
        <f t="shared" si="37"/>
        <v>0</v>
      </c>
      <c r="L69" s="2">
        <f t="shared" si="37"/>
        <v>0</v>
      </c>
      <c r="M69" s="2">
        <f t="shared" si="37"/>
        <v>454450.23683248711</v>
      </c>
      <c r="N69" s="2">
        <v>0</v>
      </c>
      <c r="O69" s="2">
        <f t="shared" si="37"/>
        <v>0</v>
      </c>
      <c r="P69" s="2">
        <f t="shared" si="37"/>
        <v>0</v>
      </c>
      <c r="Q69" s="2">
        <f t="shared" si="37"/>
        <v>0</v>
      </c>
      <c r="R69" s="2">
        <v>0</v>
      </c>
      <c r="S69" s="2">
        <f t="shared" ref="S69:W72" si="39">S68/10</f>
        <v>0</v>
      </c>
      <c r="T69" s="2">
        <f t="shared" si="39"/>
        <v>0</v>
      </c>
      <c r="U69" s="2">
        <f t="shared" si="39"/>
        <v>0</v>
      </c>
      <c r="V69" s="2">
        <f t="shared" si="39"/>
        <v>0</v>
      </c>
      <c r="W69" s="2">
        <f t="shared" si="39"/>
        <v>1816</v>
      </c>
    </row>
    <row r="70" spans="1:23" s="2" customFormat="1" x14ac:dyDescent="0.3">
      <c r="A70" s="2" t="s">
        <v>91</v>
      </c>
      <c r="B70" s="2">
        <f t="shared" si="37"/>
        <v>5</v>
      </c>
      <c r="C70" s="2">
        <f t="shared" si="37"/>
        <v>0</v>
      </c>
      <c r="D70" s="2">
        <f t="shared" si="37"/>
        <v>0</v>
      </c>
      <c r="E70" s="2">
        <v>0</v>
      </c>
      <c r="F70" s="2">
        <f t="shared" si="37"/>
        <v>6818.181818181818</v>
      </c>
      <c r="G70" s="2">
        <f t="shared" si="37"/>
        <v>0</v>
      </c>
      <c r="H70" s="2">
        <f t="shared" si="37"/>
        <v>0</v>
      </c>
      <c r="I70" s="2">
        <f t="shared" si="37"/>
        <v>0</v>
      </c>
      <c r="J70" s="2">
        <f t="shared" si="37"/>
        <v>0</v>
      </c>
      <c r="K70" s="2">
        <f t="shared" si="37"/>
        <v>0</v>
      </c>
      <c r="L70" s="2">
        <f t="shared" si="37"/>
        <v>0</v>
      </c>
      <c r="M70" s="2">
        <f t="shared" si="37"/>
        <v>45445.023683248713</v>
      </c>
      <c r="N70" s="2">
        <f t="shared" si="37"/>
        <v>0</v>
      </c>
      <c r="O70" s="2">
        <f t="shared" si="37"/>
        <v>0</v>
      </c>
      <c r="P70" s="2">
        <f t="shared" si="37"/>
        <v>0</v>
      </c>
      <c r="Q70" s="2">
        <f t="shared" si="37"/>
        <v>0</v>
      </c>
      <c r="R70" s="2">
        <f t="shared" ref="R70:W73" si="40">R69/10</f>
        <v>0</v>
      </c>
      <c r="S70" s="2">
        <f t="shared" si="40"/>
        <v>0</v>
      </c>
      <c r="T70" s="2">
        <f t="shared" si="40"/>
        <v>0</v>
      </c>
      <c r="U70" s="2">
        <f t="shared" si="40"/>
        <v>0</v>
      </c>
      <c r="V70" s="2">
        <f t="shared" si="40"/>
        <v>0</v>
      </c>
      <c r="W70" s="2">
        <v>0</v>
      </c>
    </row>
    <row r="71" spans="1:23" s="2" customFormat="1" x14ac:dyDescent="0.3">
      <c r="A71" s="2" t="s">
        <v>92</v>
      </c>
      <c r="B71" s="2">
        <v>0</v>
      </c>
      <c r="C71" s="2">
        <f t="shared" si="37"/>
        <v>0</v>
      </c>
      <c r="D71" s="2">
        <f t="shared" si="37"/>
        <v>0</v>
      </c>
      <c r="E71" s="2">
        <f t="shared" si="37"/>
        <v>0</v>
      </c>
      <c r="F71" s="2">
        <f t="shared" si="37"/>
        <v>681.81818181818176</v>
      </c>
      <c r="G71" s="2">
        <f t="shared" si="37"/>
        <v>0</v>
      </c>
      <c r="H71" s="2">
        <f t="shared" si="37"/>
        <v>0</v>
      </c>
      <c r="I71" s="2">
        <f t="shared" si="37"/>
        <v>0</v>
      </c>
      <c r="J71" s="2">
        <f t="shared" si="37"/>
        <v>0</v>
      </c>
      <c r="K71" s="2">
        <f t="shared" si="37"/>
        <v>0</v>
      </c>
      <c r="L71" s="2">
        <f t="shared" si="37"/>
        <v>0</v>
      </c>
      <c r="M71" s="2">
        <f t="shared" si="37"/>
        <v>4544.502368324871</v>
      </c>
      <c r="N71" s="2">
        <f t="shared" si="37"/>
        <v>0</v>
      </c>
      <c r="O71" s="2">
        <f t="shared" si="37"/>
        <v>0</v>
      </c>
      <c r="P71" s="2">
        <f t="shared" si="37"/>
        <v>0</v>
      </c>
      <c r="Q71" s="2">
        <f t="shared" si="37"/>
        <v>0</v>
      </c>
      <c r="R71" s="2">
        <f t="shared" si="40"/>
        <v>0</v>
      </c>
      <c r="S71" s="2">
        <f t="shared" si="40"/>
        <v>0</v>
      </c>
      <c r="T71" s="2">
        <f t="shared" si="40"/>
        <v>0</v>
      </c>
      <c r="U71" s="2">
        <f t="shared" si="40"/>
        <v>0</v>
      </c>
      <c r="V71" s="2">
        <f t="shared" si="40"/>
        <v>0</v>
      </c>
      <c r="W71" s="2">
        <f t="shared" si="40"/>
        <v>0</v>
      </c>
    </row>
    <row r="72" spans="1:23" s="2" customFormat="1" x14ac:dyDescent="0.3">
      <c r="A72" s="2" t="s">
        <v>93</v>
      </c>
      <c r="B72" s="2">
        <v>9400</v>
      </c>
      <c r="C72" s="2">
        <v>0</v>
      </c>
      <c r="D72" s="2">
        <v>0</v>
      </c>
      <c r="E72" s="2">
        <v>35</v>
      </c>
      <c r="F72" s="2">
        <v>5800000</v>
      </c>
      <c r="G72" s="2">
        <v>5631135.2698009498</v>
      </c>
      <c r="H72" s="2">
        <v>0</v>
      </c>
      <c r="I72" s="2">
        <v>2006790.1467098286</v>
      </c>
      <c r="J72" s="2">
        <v>0</v>
      </c>
      <c r="K72" s="2">
        <v>0</v>
      </c>
      <c r="L72" s="2">
        <v>0</v>
      </c>
      <c r="M72" s="2">
        <v>35350147.255879134</v>
      </c>
      <c r="N72" s="2">
        <v>276000</v>
      </c>
      <c r="O72" s="2">
        <v>0</v>
      </c>
      <c r="P72" s="2">
        <v>0</v>
      </c>
      <c r="Q72" s="2">
        <v>0</v>
      </c>
      <c r="R72" s="2">
        <v>540</v>
      </c>
      <c r="S72" s="2">
        <v>320</v>
      </c>
      <c r="T72" s="2">
        <v>0</v>
      </c>
      <c r="U72" s="2">
        <v>240</v>
      </c>
      <c r="V72" s="2">
        <v>700000</v>
      </c>
      <c r="W72" s="2">
        <v>31600</v>
      </c>
    </row>
    <row r="73" spans="1:23" s="1" customFormat="1" x14ac:dyDescent="0.3">
      <c r="A73" s="2" t="s">
        <v>94</v>
      </c>
      <c r="B73" s="2">
        <f t="shared" ref="B73:Q76" si="41">B72/10</f>
        <v>940</v>
      </c>
      <c r="C73" s="2">
        <f t="shared" si="41"/>
        <v>0</v>
      </c>
      <c r="D73" s="2">
        <f t="shared" si="41"/>
        <v>0</v>
      </c>
      <c r="E73" s="2">
        <v>0</v>
      </c>
      <c r="F73" s="2">
        <f t="shared" si="41"/>
        <v>580000</v>
      </c>
      <c r="G73" s="2">
        <f t="shared" si="41"/>
        <v>563113.52698009496</v>
      </c>
      <c r="H73" s="2">
        <f t="shared" si="41"/>
        <v>0</v>
      </c>
      <c r="I73" s="2">
        <f t="shared" si="41"/>
        <v>200679.01467098287</v>
      </c>
      <c r="J73" s="2">
        <f t="shared" si="41"/>
        <v>0</v>
      </c>
      <c r="K73" s="2">
        <f t="shared" si="41"/>
        <v>0</v>
      </c>
      <c r="L73" s="2">
        <f t="shared" si="41"/>
        <v>0</v>
      </c>
      <c r="M73" s="2">
        <f t="shared" si="41"/>
        <v>3535014.7255879133</v>
      </c>
      <c r="N73" s="2">
        <f t="shared" si="41"/>
        <v>27600</v>
      </c>
      <c r="O73" s="2">
        <f t="shared" si="41"/>
        <v>0</v>
      </c>
      <c r="P73" s="2">
        <f t="shared" si="41"/>
        <v>0</v>
      </c>
      <c r="Q73" s="2">
        <f t="shared" si="41"/>
        <v>0</v>
      </c>
      <c r="R73" s="2">
        <f t="shared" ref="R73:W76" si="42">R72/10</f>
        <v>54</v>
      </c>
      <c r="S73" s="2">
        <v>0</v>
      </c>
      <c r="T73" s="2">
        <f t="shared" si="42"/>
        <v>0</v>
      </c>
      <c r="U73" s="2">
        <v>0</v>
      </c>
      <c r="V73" s="2">
        <f t="shared" si="42"/>
        <v>70000</v>
      </c>
      <c r="W73" s="2">
        <f t="shared" si="42"/>
        <v>3160</v>
      </c>
    </row>
    <row r="74" spans="1:23" s="1" customFormat="1" x14ac:dyDescent="0.3">
      <c r="A74" s="2" t="s">
        <v>95</v>
      </c>
      <c r="B74" s="2">
        <f t="shared" si="41"/>
        <v>94</v>
      </c>
      <c r="C74" s="2">
        <f t="shared" si="41"/>
        <v>0</v>
      </c>
      <c r="D74" s="2">
        <f t="shared" si="41"/>
        <v>0</v>
      </c>
      <c r="E74" s="2">
        <f t="shared" si="41"/>
        <v>0</v>
      </c>
      <c r="F74" s="2">
        <f t="shared" si="41"/>
        <v>58000</v>
      </c>
      <c r="G74" s="2">
        <v>0</v>
      </c>
      <c r="H74" s="2">
        <f t="shared" si="41"/>
        <v>0</v>
      </c>
      <c r="I74" s="2">
        <v>0</v>
      </c>
      <c r="J74" s="2">
        <f t="shared" si="41"/>
        <v>0</v>
      </c>
      <c r="K74" s="2">
        <f t="shared" si="41"/>
        <v>0</v>
      </c>
      <c r="L74" s="2">
        <f t="shared" si="41"/>
        <v>0</v>
      </c>
      <c r="M74" s="2">
        <f t="shared" si="41"/>
        <v>353501.47255879134</v>
      </c>
      <c r="N74" s="2">
        <v>0</v>
      </c>
      <c r="O74" s="2">
        <f t="shared" si="41"/>
        <v>0</v>
      </c>
      <c r="P74" s="2">
        <f t="shared" si="41"/>
        <v>0</v>
      </c>
      <c r="Q74" s="2">
        <f t="shared" si="41"/>
        <v>0</v>
      </c>
      <c r="R74" s="2">
        <v>0</v>
      </c>
      <c r="S74" s="2">
        <f t="shared" ref="S74:U77" si="43">S73/10</f>
        <v>0</v>
      </c>
      <c r="T74" s="2">
        <f t="shared" si="43"/>
        <v>0</v>
      </c>
      <c r="U74" s="2">
        <f t="shared" si="43"/>
        <v>0</v>
      </c>
      <c r="V74" s="2">
        <v>0</v>
      </c>
      <c r="W74" s="2">
        <v>0</v>
      </c>
    </row>
    <row r="75" spans="1:23" s="1" customFormat="1" x14ac:dyDescent="0.3">
      <c r="A75" s="2" t="s">
        <v>96</v>
      </c>
      <c r="B75" s="2">
        <f t="shared" si="41"/>
        <v>9.4</v>
      </c>
      <c r="C75" s="2">
        <f t="shared" si="41"/>
        <v>0</v>
      </c>
      <c r="D75" s="2">
        <f t="shared" si="41"/>
        <v>0</v>
      </c>
      <c r="E75" s="2">
        <f t="shared" si="41"/>
        <v>0</v>
      </c>
      <c r="F75" s="2">
        <f t="shared" si="41"/>
        <v>5800</v>
      </c>
      <c r="G75" s="2">
        <f t="shared" si="41"/>
        <v>0</v>
      </c>
      <c r="H75" s="2">
        <f t="shared" si="41"/>
        <v>0</v>
      </c>
      <c r="I75" s="2">
        <f t="shared" si="41"/>
        <v>0</v>
      </c>
      <c r="J75" s="2">
        <f t="shared" si="41"/>
        <v>0</v>
      </c>
      <c r="K75" s="2">
        <f t="shared" si="41"/>
        <v>0</v>
      </c>
      <c r="L75" s="2">
        <f t="shared" si="41"/>
        <v>0</v>
      </c>
      <c r="M75" s="2">
        <f t="shared" si="41"/>
        <v>35350.147255879136</v>
      </c>
      <c r="N75" s="2">
        <f t="shared" si="41"/>
        <v>0</v>
      </c>
      <c r="O75" s="2">
        <f t="shared" si="41"/>
        <v>0</v>
      </c>
      <c r="P75" s="2">
        <f t="shared" si="41"/>
        <v>0</v>
      </c>
      <c r="Q75" s="2">
        <f t="shared" si="41"/>
        <v>0</v>
      </c>
      <c r="R75" s="2">
        <f t="shared" ref="R75:W78" si="44">R74/10</f>
        <v>0</v>
      </c>
      <c r="S75" s="2">
        <f t="shared" si="44"/>
        <v>0</v>
      </c>
      <c r="T75" s="2">
        <f t="shared" si="44"/>
        <v>0</v>
      </c>
      <c r="U75" s="2">
        <f t="shared" si="44"/>
        <v>0</v>
      </c>
      <c r="V75" s="2">
        <f t="shared" si="44"/>
        <v>0</v>
      </c>
      <c r="W75" s="2">
        <f t="shared" si="44"/>
        <v>0</v>
      </c>
    </row>
    <row r="76" spans="1:23" s="1" customFormat="1" x14ac:dyDescent="0.3">
      <c r="A76" s="2" t="s">
        <v>97</v>
      </c>
      <c r="B76" s="2">
        <v>0</v>
      </c>
      <c r="C76" s="2">
        <f t="shared" si="41"/>
        <v>0</v>
      </c>
      <c r="D76" s="2">
        <f t="shared" si="41"/>
        <v>0</v>
      </c>
      <c r="E76" s="2">
        <f t="shared" si="41"/>
        <v>0</v>
      </c>
      <c r="F76" s="2">
        <f t="shared" si="41"/>
        <v>580</v>
      </c>
      <c r="G76" s="2">
        <f t="shared" si="41"/>
        <v>0</v>
      </c>
      <c r="H76" s="2">
        <f t="shared" si="41"/>
        <v>0</v>
      </c>
      <c r="I76" s="2">
        <f t="shared" si="41"/>
        <v>0</v>
      </c>
      <c r="J76" s="2">
        <f t="shared" si="41"/>
        <v>0</v>
      </c>
      <c r="K76" s="2">
        <f t="shared" si="41"/>
        <v>0</v>
      </c>
      <c r="L76" s="2">
        <f t="shared" si="41"/>
        <v>0</v>
      </c>
      <c r="M76" s="2">
        <f t="shared" si="41"/>
        <v>3535.0147255879137</v>
      </c>
      <c r="N76" s="2">
        <f t="shared" si="41"/>
        <v>0</v>
      </c>
      <c r="O76" s="2">
        <f t="shared" si="41"/>
        <v>0</v>
      </c>
      <c r="P76" s="2">
        <f t="shared" si="41"/>
        <v>0</v>
      </c>
      <c r="Q76" s="2">
        <f t="shared" si="41"/>
        <v>0</v>
      </c>
      <c r="R76" s="2">
        <f t="shared" si="44"/>
        <v>0</v>
      </c>
      <c r="S76" s="2">
        <f t="shared" si="44"/>
        <v>0</v>
      </c>
      <c r="T76" s="2">
        <f t="shared" si="44"/>
        <v>0</v>
      </c>
      <c r="U76" s="2">
        <f t="shared" si="44"/>
        <v>0</v>
      </c>
      <c r="V76" s="2">
        <f t="shared" si="44"/>
        <v>0</v>
      </c>
      <c r="W76" s="2">
        <f t="shared" si="44"/>
        <v>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DFE2D827EF46E41B66DB6A1A5FA62FA" ma:contentTypeVersion="15" ma:contentTypeDescription="Crear nuevo documento." ma:contentTypeScope="" ma:versionID="04a06526394fb914e30aa3f5c80ee6c7">
  <xsd:schema xmlns:xsd="http://www.w3.org/2001/XMLSchema" xmlns:xs="http://www.w3.org/2001/XMLSchema" xmlns:p="http://schemas.microsoft.com/office/2006/metadata/properties" xmlns:ns2="ecf971ba-3f1c-4a5f-b34e-6f95665ef865" xmlns:ns3="299fb3f3-2056-4e94-a5ff-adb17f643ddb" targetNamespace="http://schemas.microsoft.com/office/2006/metadata/properties" ma:root="true" ma:fieldsID="79f9d5bbca1e82cc9e1b59210650f8e8" ns2:_="" ns3:_="">
    <xsd:import namespace="ecf971ba-3f1c-4a5f-b34e-6f95665ef865"/>
    <xsd:import namespace="299fb3f3-2056-4e94-a5ff-adb17f643d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f971ba-3f1c-4a5f-b34e-6f95665ef8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87c5a2b0-51b2-40d4-af1d-8383668458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9fb3f3-2056-4e94-a5ff-adb17f643dd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059cb21-69b5-4163-ae5b-8a3d05cf50bb}" ma:internalName="TaxCatchAll" ma:showField="CatchAllData" ma:web="299fb3f3-2056-4e94-a5ff-adb17f643d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f971ba-3f1c-4a5f-b34e-6f95665ef865">
      <Terms xmlns="http://schemas.microsoft.com/office/infopath/2007/PartnerControls"/>
    </lcf76f155ced4ddcb4097134ff3c332f>
    <TaxCatchAll xmlns="299fb3f3-2056-4e94-a5ff-adb17f643ddb" xsi:nil="true"/>
  </documentManagement>
</p:properties>
</file>

<file path=customXml/itemProps1.xml><?xml version="1.0" encoding="utf-8"?>
<ds:datastoreItem xmlns:ds="http://schemas.openxmlformats.org/officeDocument/2006/customXml" ds:itemID="{ED765E61-FF56-4D89-903B-8B605BEF8A6A}"/>
</file>

<file path=customXml/itemProps2.xml><?xml version="1.0" encoding="utf-8"?>
<ds:datastoreItem xmlns:ds="http://schemas.openxmlformats.org/officeDocument/2006/customXml" ds:itemID="{DC5E2129-F681-43BB-BB83-882D147F7BF3}"/>
</file>

<file path=customXml/itemProps3.xml><?xml version="1.0" encoding="utf-8"?>
<ds:datastoreItem xmlns:ds="http://schemas.openxmlformats.org/officeDocument/2006/customXml" ds:itemID="{15CA168A-5B1D-4B71-96AC-93908A69A8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Universitat de Barcelona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Mendez Viera</dc:creator>
  <cp:lastModifiedBy>Javier Mendez Viera</cp:lastModifiedBy>
  <dcterms:created xsi:type="dcterms:W3CDTF">2025-05-06T10:23:04Z</dcterms:created>
  <dcterms:modified xsi:type="dcterms:W3CDTF">2025-05-06T10:23:37Z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0x0101006DFE2D827EF46E41B66DB6A1A5FA62FA</vt:lpwstr>
  </property>
</Properties>
</file>